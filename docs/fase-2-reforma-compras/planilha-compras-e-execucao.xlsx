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name="Resumo" sheetId="1" state="visible" r:id="rId1"/>
    <sheet name="1. Essencial" sheetId="2" state="visible" r:id="rId2"/>
    <sheet name="2. Alta prioridade" sheetId="3" state="visible" r:id="rId3"/>
    <sheet name="3. Média prioridade" sheetId="4" state="visible" r:id="rId4"/>
    <sheet name="4. Diferenciação (2ª etapa)" sheetId="5" state="visible" r:id="rId5"/>
    <sheet name="5. Pode espera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R\$\ #,##0.00"/>
    <numFmt numFmtId="165" formatCode="R$ #,##0.0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555555"/>
      <sz val="9"/>
    </font>
    <font>
      <name val="Calibri"/>
      <b val="1"/>
      <color rgb="FFFFFFFF"/>
      <sz val="10"/>
    </font>
    <font>
      <name val="Calibri"/>
      <color rgb="FF0563C1"/>
      <sz val="9"/>
      <u val="single"/>
    </font>
    <font>
      <name val="Calibri"/>
      <b val="1"/>
      <sz val="11"/>
    </font>
    <font>
      <name val="Calibri"/>
      <b val="1"/>
      <color rgb="FF1F3864"/>
      <sz val="14"/>
    </font>
    <font>
      <name val="Calibri"/>
      <family val="2"/>
      <color theme="10"/>
      <sz val="11"/>
      <u val="single"/>
      <scheme val="minor"/>
    </font>
    <font>
      <b val="1"/>
      <color rgb="00FFFFFF"/>
      <sz val="9"/>
    </font>
    <font>
      <b val="1"/>
      <color rgb="00FFFFFF"/>
    </font>
    <font>
      <b val="1"/>
      <color rgb="001F3864"/>
      <sz val="13"/>
    </font>
    <font>
      <i val="1"/>
      <color rgb="00555555"/>
      <sz val="9"/>
    </font>
    <font>
      <b val="1"/>
    </font>
  </fonts>
  <fills count="16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7D31"/>
      </patternFill>
    </fill>
    <fill>
      <patternFill patternType="solid">
        <fgColor rgb="FFBF9000"/>
      </patternFill>
    </fill>
    <fill>
      <patternFill patternType="solid">
        <fgColor rgb="FF2E75B6"/>
      </patternFill>
    </fill>
    <fill>
      <patternFill patternType="solid">
        <fgColor rgb="FF808080"/>
      </patternFill>
    </fill>
    <fill>
      <patternFill patternType="solid">
        <fgColor rgb="002E5496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2E75B6"/>
      </patternFill>
    </fill>
    <fill>
      <patternFill patternType="solid">
        <fgColor rgb="008EAADB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2">
    <xf numFmtId="0" fontId="0" fillId="0" borderId="0"/>
    <xf numFmtId="0" fontId="7" fillId="0" borderId="0"/>
  </cellStyleXfs>
  <cellXfs count="51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164" fontId="0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9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2" borderId="0" pivotButton="0" quotePrefix="0" xfId="0"/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2" pivotButton="0" quotePrefix="0" xfId="0"/>
    <xf numFmtId="165" fontId="12" fillId="0" borderId="2" pivotButton="0" quotePrefix="0" xfId="0"/>
    <xf numFmtId="0" fontId="8" fillId="1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t.aliexpress.com/item/1005003294765840.html?spm=a2g0o.order_detail.order_detail_item.4.368d715cac8CXF&amp;gatewayAdapt=glo2bra" TargetMode="External" Id="rId1" /><Relationship Type="http://schemas.openxmlformats.org/officeDocument/2006/relationships/hyperlink" Target="https://shopee.com.br/Jogo-de-Len%C3%A7ol-4-Pe%C3%A7as-400-Fios-Micropercal-Cama-Solteiro-Casal-Queen-e-King-i.805674361.23993804201" TargetMode="External" Id="rId2" /><Relationship Type="http://schemas.openxmlformats.org/officeDocument/2006/relationships/hyperlink" Target="https://www.amazon.com.br/Fibrasca-Protetor-Colch%C3%A3o-Imperme%C3%A1vel-SILENCIOSO/dp/B09G9KGJNS" TargetMode="External" Id="rId3" /><Relationship Type="http://schemas.openxmlformats.org/officeDocument/2006/relationships/hyperlink" Target="https://lista.mercadolivre.com.br/capa-protetora-travesseiro-impermeavel" TargetMode="External" Id="rId4" /><Relationship Type="http://schemas.openxmlformats.org/officeDocument/2006/relationships/hyperlink" Target="https://lista.mercadolivre.com.br/edredom-casal-branco" TargetMode="External" Id="rId5" /><Relationship Type="http://schemas.openxmlformats.org/officeDocument/2006/relationships/hyperlink" Target="https://lista.mercadolivre.com.br/cobertor-casal-microfibra" TargetMode="External" Id="rId6" /><Relationship Type="http://schemas.openxmlformats.org/officeDocument/2006/relationships/hyperlink" Target="https://shopee.com.br/Jogo-de-panelas-com-8-pe%C3%A7as-Antiaderente-Preto-ou-Cereja-i.1790856718.58208225918" TargetMode="External" Id="rId7" /><Relationship Type="http://schemas.openxmlformats.org/officeDocument/2006/relationships/hyperlink" Target="https://lista.mercadolivre.com.br/frigideira-antiaderente" TargetMode="External" Id="rId8" /><Relationship Type="http://schemas.openxmlformats.org/officeDocument/2006/relationships/hyperlink" Target="https://shopee.com.br/Aparelho-de-jantar-10-pe%C3%A7as-em-cer%C3%A2mica.-Prato-raso-fundo-sobremesa-pires-e-xicaras-i.349241462.20799000439?xptdk=14628c64-08ac-45e8-b163-8142f0f6ce58" TargetMode="External" Id="rId9" /><Relationship Type="http://schemas.openxmlformats.org/officeDocument/2006/relationships/hyperlink" Target="https://lista.mercadolivre.com.br/kit-utensilios-cozinha" TargetMode="External" Id="rId10" /><Relationship Type="http://schemas.openxmlformats.org/officeDocument/2006/relationships/hyperlink" Target="https://www.amazon.com.br/Electrolux-ECM10-Cafeteira/dp/B09CB7MJMX" TargetMode="External" Id="rId11" /><Relationship Type="http://schemas.openxmlformats.org/officeDocument/2006/relationships/hyperlink" Target="https://pt.aliexpress.com/item/1005003294765840.html?spm=a2g0o.order_detail.order_detail_item.4.368d715cac8CXF&amp;gatewayAdapt=glo2bra" TargetMode="External" Id="rId12" /><Relationship Type="http://schemas.openxmlformats.org/officeDocument/2006/relationships/hyperlink" Target="https://lista.mercadolivre.com.br/extintor-abc-residencial" TargetMode="External" Id="rId13" /><Relationship Type="http://schemas.openxmlformats.org/officeDocument/2006/relationships/hyperlink" Target="https://lista.mercadolivre.com.br/kit-primeiros-socorros" TargetMode="External" Id="rId14" /><Relationship Type="http://schemas.openxmlformats.org/officeDocument/2006/relationships/hyperlink" Target="https://lista.mercadolivre.com.br/kit-limpeza-completo-casa" TargetMode="External" Id="rId15" /><Relationship Type="http://schemas.openxmlformats.org/officeDocument/2006/relationships/hyperlink" Target="https://lista.mercadolivre.com.br/ventilador-coluna-silencioso" TargetMode="External" Id="rId16" /><Relationship Type="http://schemas.openxmlformats.org/officeDocument/2006/relationships/hyperlink" Target="https://lista.mercadolivre.com.br/smart-tv-32-polegadas" TargetMode="External" Id="rId17" /><Relationship Type="http://schemas.openxmlformats.org/officeDocument/2006/relationships/hyperlink" Target="https://lista.mercadolivre.com.br/suporte-tv-parede-fixo" TargetMode="External" Id="rId18" /><Relationship Type="http://schemas.openxmlformats.org/officeDocument/2006/relationships/hyperlink" Target="https://lista.mercadolivre.com.br/gaveteiro-escritorio-com-chave" TargetMode="External" Id="rId19" /><Relationship Type="http://schemas.openxmlformats.org/officeDocument/2006/relationships/hyperlink" Target="https://lista.mercadolivre.com.br/caixa-organizadora-transparente-kit" TargetMode="External" Id="rId20" /><Relationship Type="http://schemas.openxmlformats.org/officeDocument/2006/relationships/hyperlink" Target="https://lista.mercadolivre.com.br/cofre-porta-chave-senha-lockbox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lista.mercadolivre.com.br/cortina-blackout-2-metros" TargetMode="External" Id="rId1" /><Relationship Type="http://schemas.openxmlformats.org/officeDocument/2006/relationships/hyperlink" Target="https://lista.mercadolivre.com.br/kit-quadros-decorativos" TargetMode="External" Id="rId2" /><Relationship Type="http://schemas.openxmlformats.org/officeDocument/2006/relationships/hyperlink" Target="https://lista.mercadolivre.com.br/tapete-sala-grande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lista.mercadolivre.com.br/cadeira-escritorio-home-office" TargetMode="External" Id="rId1" /><Relationship Type="http://schemas.openxmlformats.org/officeDocument/2006/relationships/hyperlink" Target="https://lista.mercadolivre.com.br/capa-de-sofa-2-3-lugares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lista.mercadolivre.com.br/ar-condicionado-9000-btus-inverte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4" sqref="A4"/>
    </sheetView>
  </sheetViews>
  <sheetFormatPr baseColWidth="8" defaultRowHeight="14.4"/>
  <cols>
    <col width="34" customWidth="1" style="32" min="1" max="1"/>
    <col width="18" customWidth="1" style="32" min="2" max="3"/>
    <col width="16" customWidth="1" style="32" min="4" max="5"/>
  </cols>
  <sheetData>
    <row r="1" ht="18" customHeight="1" s="32">
      <c r="A1" s="1" t="inlineStr">
        <is>
          <t>RESUMO — COMPRAS E EXECUÇÃO (912 NORTE)</t>
        </is>
      </c>
    </row>
    <row r="2">
      <c r="A2" s="2" t="inlineStr">
        <is>
          <t>Estimativas de mercado (jun/2026). Preencha 'Comprado?' e 'Valor real pago' em cada aba; este resumo soma sozinho.</t>
        </is>
      </c>
    </row>
    <row r="4">
      <c r="A4" s="3" t="inlineStr">
        <is>
          <t>Prioridade</t>
        </is>
      </c>
      <c r="B4" s="3" t="inlineStr">
        <is>
          <t>Total estimado</t>
        </is>
      </c>
      <c r="C4" s="3" t="inlineStr">
        <is>
          <t>Total real pago</t>
        </is>
      </c>
      <c r="D4" s="3" t="inlineStr">
        <is>
          <t>Itens</t>
        </is>
      </c>
      <c r="E4" s="3" t="inlineStr">
        <is>
          <t>Concluídos</t>
        </is>
      </c>
    </row>
    <row r="5">
      <c r="A5" s="4" t="inlineStr">
        <is>
          <t>1. Essencial</t>
        </is>
      </c>
      <c r="B5" s="5">
        <f>'1. Essencial'!H38</f>
        <v/>
      </c>
      <c r="C5" s="5">
        <f>'1. Essencial'!J38</f>
        <v/>
      </c>
      <c r="D5" s="4">
        <f>COUNTA('1. Essencial'!A4:A37)</f>
        <v/>
      </c>
      <c r="E5" s="4">
        <f>COUNTIF('1. Essencial'!I4:I37,"Sim")</f>
        <v/>
      </c>
    </row>
    <row r="6">
      <c r="A6" s="4" t="inlineStr">
        <is>
          <t>2. Alta prioridade</t>
        </is>
      </c>
      <c r="B6" s="5">
        <f>'2. Alta prioridade'!H9</f>
        <v/>
      </c>
      <c r="C6" s="5">
        <f>'2. Alta prioridade'!J9</f>
        <v/>
      </c>
      <c r="D6" s="4">
        <f>COUNTA('2. Alta prioridade'!A4:A8)</f>
        <v/>
      </c>
      <c r="E6" s="4">
        <f>COUNTIF('2. Alta prioridade'!I4:I8,"Sim")</f>
        <v/>
      </c>
    </row>
    <row r="7">
      <c r="A7" s="4" t="inlineStr">
        <is>
          <t>3. Média prioridade</t>
        </is>
      </c>
      <c r="B7" s="5">
        <f>'3. Média prioridade'!H8</f>
        <v/>
      </c>
      <c r="C7" s="5">
        <f>'3. Média prioridade'!J8</f>
        <v/>
      </c>
      <c r="D7" s="4">
        <f>COUNTA('3. Média prioridade'!A4:A7)</f>
        <v/>
      </c>
      <c r="E7" s="4">
        <f>COUNTIF('3. Média prioridade'!I4:I7,"Sim")</f>
        <v/>
      </c>
    </row>
    <row r="8">
      <c r="A8" s="4" t="inlineStr">
        <is>
          <t>4. Diferenciação (2ª etapa)</t>
        </is>
      </c>
      <c r="B8" s="5">
        <f>'4. Diferenciação (2ª etapa)'!H6</f>
        <v/>
      </c>
      <c r="C8" s="5">
        <f>'4. Diferenciação (2ª etapa)'!J6</f>
        <v/>
      </c>
      <c r="D8" s="4">
        <f>COUNTA('4. Diferenciação (2ª etapa)'!A4:A5)</f>
        <v/>
      </c>
      <c r="E8" s="4">
        <f>COUNTIF('4. Diferenciação (2ª etapa)'!I4:I5,"Sim")</f>
        <v/>
      </c>
    </row>
    <row r="9">
      <c r="A9" s="4" t="inlineStr">
        <is>
          <t>5. Pode esperar</t>
        </is>
      </c>
      <c r="B9" s="5">
        <f>'5. Pode esperar'!H8</f>
        <v/>
      </c>
      <c r="C9" s="5">
        <f>'5. Pode esperar'!J8</f>
        <v/>
      </c>
      <c r="D9" s="4">
        <f>COUNTA('5. Pode esperar'!A4:A7)</f>
        <v/>
      </c>
      <c r="E9" s="4">
        <f>COUNTIF('5. Pode esperar'!I4:I7,"Sim")</f>
        <v/>
      </c>
    </row>
    <row r="10">
      <c r="A10" s="6" t="inlineStr">
        <is>
          <t>TOTAL GERAL</t>
        </is>
      </c>
      <c r="B10" s="7">
        <f>SUM(B5:B9)</f>
        <v/>
      </c>
      <c r="C10" s="7">
        <f>SUM(C5:C9)</f>
        <v/>
      </c>
      <c r="D10" s="6">
        <f>SUM(D5:D9)</f>
        <v/>
      </c>
      <c r="E10" s="6">
        <f>SUM(E5:E9)</f>
        <v/>
      </c>
    </row>
    <row r="12">
      <c r="A12" s="8" t="inlineStr">
        <is>
          <t>Foco imediato: zerar a aba '1. Essencial' (comprado + executado) antes de liberar o anúncio.</t>
        </is>
      </c>
    </row>
    <row r="13">
      <c r="A13" s="2" t="inlineStr">
        <is>
          <t>Sequência: comprar essencial → executar reforma/montagem → fotos novas → publicar.</t>
        </is>
      </c>
    </row>
    <row r="14">
      <c r="A14" s="38" t="inlineStr">
        <is>
          <t>PAINEL DE GO-LIVE (nova estratégia)</t>
        </is>
      </c>
    </row>
    <row r="15">
      <c r="A15" s="39" t="inlineStr">
        <is>
          <t>Estratégia: NÃO comprar tudo antes de abrir. Zerar BLOQUEADORES, abrir com segurança/higiene/foto mínima, gerar caixa e reinvestir por ROI.</t>
        </is>
      </c>
    </row>
    <row r="16">
      <c r="A16" s="40" t="inlineStr">
        <is>
          <t>Indicador</t>
        </is>
      </c>
      <c r="B16" s="40" t="inlineStr">
        <is>
          <t>Valor</t>
        </is>
      </c>
    </row>
    <row r="17">
      <c r="A17" s="41" t="inlineStr">
        <is>
          <t>Bloqueadores pendentes (Essencial)</t>
        </is>
      </c>
      <c r="B17" s="41">
        <f>COUNTIFS('1. Essencial'!O4:O37,"Bloqueador",'1. Essencial'!M4:M37,"Pendente*")</f>
        <v/>
      </c>
    </row>
    <row r="18">
      <c r="A18" s="41" t="inlineStr">
        <is>
          <t>Bloqueadores já resolvidos (Essencial)</t>
        </is>
      </c>
      <c r="B18" s="41">
        <f>COUNTIFS('1. Essencial'!O4:O37,"Bloqueador",'1. Essencial'!M4:M37,"Comprado*")</f>
        <v/>
      </c>
    </row>
    <row r="19">
      <c r="A19" s="41" t="inlineStr">
        <is>
          <t>Pré-go-live desejáveis pendentes (Ess.+Alta)</t>
        </is>
      </c>
      <c r="B19" s="41">
        <f>COUNTIFS('1. Essencial'!O4:O37,"Pré-go-live",'1. Essencial'!M4:M37,"Pendente*")+COUNTIFS('2. Alta prioridade'!O4:O8,"Pré-go-live",'2. Alta prioridade'!M4:M8,"Pendente*")</f>
        <v/>
      </c>
    </row>
    <row r="20">
      <c r="A20" s="41" t="inlineStr">
        <is>
          <t>Itens adiados (Pós-go-live/Pós-ROI/Não)</t>
        </is>
      </c>
      <c r="B20" s="41">
        <f>COUNTIF('1. Essencial'!O4:O37,"Pós*")+COUNTIF('1. Essencial'!O4:O37,"Não comprar")+COUNTIF('2. Alta prioridade'!O4:O8,"Pós*")+COUNTIF('2. Alta prioridade'!O4:O8,"Não comprar")</f>
        <v/>
      </c>
    </row>
    <row r="21">
      <c r="A21" s="41" t="inlineStr">
        <is>
          <t>Total já PAGO (todas as abas)</t>
        </is>
      </c>
      <c r="B21" s="42">
        <f>SUM('1. Essencial'!J4:J37)+SUM('2. Alta prioridade'!J4:J8)+SUM('3. Média prioridade'!J4:J7)+SUM('4. Diferenciação (2ª etapa)'!J4:J5)+SUM('5. Pode esperar'!J4:J7)</f>
        <v/>
      </c>
    </row>
    <row r="23">
      <c r="A23" s="39" t="inlineStr">
        <is>
          <t>Legenda Classe go-live: Bloqueador (não abre sem) · Pré-go-live (desejável antes) · Pós-go-live 30d · Pós-ROI 60d · Não comprar por ora.</t>
        </is>
      </c>
    </row>
    <row r="24">
      <c r="A24" s="39" t="inlineStr">
        <is>
          <t>Abas 3-5 já são, por natureza, Pós-go-live / Pós-ROI / Não comprar agora.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topLeftCell="D1" workbookViewId="0">
      <pane ySplit="3" topLeftCell="A4" activePane="bottomLeft" state="frozen"/>
      <selection pane="bottomLeft" activeCell="I3" sqref="I3"/>
    </sheetView>
  </sheetViews>
  <sheetFormatPr baseColWidth="8" defaultRowHeight="14.4"/>
  <cols>
    <col width="26" customWidth="1" style="28" min="1" max="1"/>
    <col width="13" customWidth="1" style="32" min="2" max="2"/>
    <col width="14" customWidth="1" style="32" min="3" max="3"/>
    <col width="6" customWidth="1" style="32" min="4" max="4"/>
    <col width="30" customWidth="1" style="32" min="5" max="5"/>
    <col width="13" customWidth="1" style="32" min="6" max="6"/>
    <col hidden="1" width="13" customWidth="1" style="32" min="7" max="8"/>
    <col width="13" customWidth="1" style="32" min="9" max="9"/>
    <col width="12" customWidth="1" style="32" min="10" max="10"/>
    <col width="14" customWidth="1" style="32" min="11" max="11"/>
    <col width="26" customWidth="1" style="28" min="12" max="12"/>
    <col width="16" customWidth="1" style="32" min="13" max="13"/>
    <col width="15" customWidth="1" style="32" min="14" max="14"/>
    <col width="17" customWidth="1" style="32" min="15" max="15"/>
    <col width="12" customWidth="1" style="32" min="16" max="16"/>
    <col width="13" customWidth="1" style="32" min="17" max="17"/>
    <col width="30" customWidth="1" style="32" min="18" max="18"/>
    <col width="30" customWidth="1" style="32" min="19" max="19"/>
  </cols>
  <sheetData>
    <row r="1" ht="22.05" customHeight="1" s="32">
      <c r="A1" s="24" t="inlineStr">
        <is>
          <t>1. ESSENCIAL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29" t="n"/>
    </row>
    <row r="2" ht="36.6" customHeight="1" s="32">
      <c r="A2" s="25" t="inlineStr">
        <is>
          <t>Tudo que precisa estar comprado E executado ANTES de liberar o anúncio. Amarelo = você preenche.</t>
        </is>
      </c>
    </row>
    <row r="3" ht="27.6" customHeight="1" s="32">
      <c r="A3" s="3" t="inlineStr">
        <is>
          <t>Item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Qtd</t>
        </is>
      </c>
      <c r="E3" s="3" t="inlineStr">
        <is>
          <t>Especificação mínima</t>
        </is>
      </c>
      <c r="F3" s="3" t="inlineStr">
        <is>
          <t>Qualidade</t>
        </is>
      </c>
      <c r="G3" s="3" t="inlineStr">
        <is>
          <t>Preço unit.
estimado</t>
        </is>
      </c>
      <c r="H3" s="3" t="inlineStr">
        <is>
          <t>Total
estimado</t>
        </is>
      </c>
      <c r="I3" s="3" t="inlineStr">
        <is>
          <t>Sua marcação
(Sim/Pretend./Não)</t>
        </is>
      </c>
      <c r="J3" s="3" t="inlineStr">
        <is>
          <t>Valor real
pago R$</t>
        </is>
      </c>
      <c r="K3" s="33" t="inlineStr">
        <is>
          <t>Link</t>
        </is>
      </c>
      <c r="L3" s="3" t="inlineStr">
        <is>
          <t>Observação</t>
        </is>
      </c>
      <c r="M3" s="43" t="inlineStr">
        <is>
          <t>Status de
execução</t>
        </is>
      </c>
      <c r="N3" s="43" t="inlineStr">
        <is>
          <t>Decisão
CAPEX</t>
        </is>
      </c>
      <c r="O3" s="43" t="inlineStr">
        <is>
          <t>Classe
go-live</t>
        </is>
      </c>
      <c r="P3" s="43" t="inlineStr">
        <is>
          <t>Data
limite</t>
        </is>
      </c>
      <c r="Q3" s="43" t="inlineStr">
        <is>
          <t>Responsável</t>
        </is>
      </c>
      <c r="R3" s="43" t="inlineStr">
        <is>
          <t>Risco se adiar</t>
        </is>
      </c>
      <c r="S3" s="43" t="inlineStr">
        <is>
          <t>Próxima ação</t>
        </is>
      </c>
    </row>
    <row r="4" ht="28.8" customHeight="1" s="32">
      <c r="A4" s="26" t="inlineStr">
        <is>
          <t>Pintura / retoque de paredes</t>
        </is>
      </c>
      <c r="B4" s="4" t="inlineStr">
        <is>
          <t>Serviço</t>
        </is>
      </c>
      <c r="C4" s="4" t="inlineStr">
        <is>
          <t>Estrutural</t>
        </is>
      </c>
      <c r="D4" s="10" t="n">
        <v>1</v>
      </c>
      <c r="E4" s="11" t="inlineStr">
        <is>
          <t>Branco/neutro; cobrir marcas do inquilino</t>
        </is>
      </c>
      <c r="F4" s="10" t="inlineStr">
        <is>
          <t>-</t>
        </is>
      </c>
      <c r="G4" s="5" t="n">
        <v>1500</v>
      </c>
      <c r="H4" s="5">
        <f>D4*G4</f>
        <v/>
      </c>
      <c r="I4" s="12" t="inlineStr">
        <is>
          <t>Pretendido</t>
        </is>
      </c>
      <c r="J4" s="13" t="n"/>
      <c r="K4" s="34" t="n"/>
      <c r="L4" s="26" t="inlineStr">
        <is>
          <t>Maior impacto em foto e limpeza percebida</t>
        </is>
      </c>
      <c r="M4" s="44" t="inlineStr">
        <is>
          <t>Pendente (serviço)</t>
        </is>
      </c>
      <c r="N4" s="44" t="inlineStr">
        <is>
          <t>Orçar 30/06</t>
        </is>
      </c>
      <c r="O4" s="45" t="inlineStr">
        <is>
          <t>Pré-go-live</t>
        </is>
      </c>
      <c r="P4" s="44" t="inlineStr">
        <is>
          <t>04–08/07</t>
        </is>
      </c>
      <c r="Q4" s="44" t="inlineStr">
        <is>
          <t>Prestador</t>
        </is>
      </c>
      <c r="R4" s="46" t="inlineStr">
        <is>
          <t>Fotos/percepção piores</t>
        </is>
      </c>
      <c r="S4" s="46" t="inlineStr">
        <is>
          <t>Orçar 30/06; executar na reforma</t>
        </is>
      </c>
    </row>
    <row r="5">
      <c r="A5" s="26" t="inlineStr">
        <is>
          <t>Faxina pesada + eliminar odor</t>
        </is>
      </c>
      <c r="B5" s="4" t="inlineStr">
        <is>
          <t>Serviço</t>
        </is>
      </c>
      <c r="C5" s="4" t="inlineStr">
        <is>
          <t>Estrutural</t>
        </is>
      </c>
      <c r="D5" s="10" t="n">
        <v>1</v>
      </c>
      <c r="E5" s="11" t="inlineStr">
        <is>
          <t>Pós-obra; arejar imóvel fechado</t>
        </is>
      </c>
      <c r="F5" s="10" t="inlineStr">
        <is>
          <t>-</t>
        </is>
      </c>
      <c r="G5" s="5" t="n">
        <v>250</v>
      </c>
      <c r="H5" s="5">
        <f>D5*G5</f>
        <v/>
      </c>
      <c r="I5" s="12" t="inlineStr">
        <is>
          <t>Pretendido</t>
        </is>
      </c>
      <c r="J5" s="13" t="n"/>
      <c r="K5" s="34" t="n"/>
      <c r="L5" s="26" t="inlineStr">
        <is>
          <t>1ª impressão define a nota</t>
        </is>
      </c>
      <c r="M5" s="44" t="inlineStr">
        <is>
          <t>Pendente (serviço)</t>
        </is>
      </c>
      <c r="N5" s="44" t="inlineStr">
        <is>
          <t>Contratar</t>
        </is>
      </c>
      <c r="O5" s="47" t="inlineStr">
        <is>
          <t>Bloqueador</t>
        </is>
      </c>
      <c r="P5" s="44" t="inlineStr">
        <is>
          <t>09/07</t>
        </is>
      </c>
      <c r="Q5" s="44" t="inlineStr">
        <is>
          <t>Talita/serviço</t>
        </is>
      </c>
      <c r="R5" s="46" t="inlineStr">
        <is>
          <t>Imóvel sujo = insalubre / nota baixa</t>
        </is>
      </c>
      <c r="S5" s="46" t="inlineStr">
        <is>
          <t>Faxina pesada em 09/07</t>
        </is>
      </c>
    </row>
    <row r="6" ht="28.8" customHeight="1" s="32">
      <c r="A6" s="26" t="inlineStr">
        <is>
          <t>Reparos funcionais</t>
        </is>
      </c>
      <c r="B6" s="4" t="inlineStr">
        <is>
          <t>Serviço</t>
        </is>
      </c>
      <c r="C6" s="4" t="inlineStr">
        <is>
          <t>Estrutural</t>
        </is>
      </c>
      <c r="D6" s="10" t="n">
        <v>1</v>
      </c>
      <c r="E6" s="11" t="inlineStr">
        <is>
          <t>Chuveiro, descarga, tomadas, vedação do box</t>
        </is>
      </c>
      <c r="F6" s="10" t="inlineStr">
        <is>
          <t>-</t>
        </is>
      </c>
      <c r="G6" s="5" t="n">
        <v>400</v>
      </c>
      <c r="H6" s="5">
        <f>D6*G6</f>
        <v/>
      </c>
      <c r="I6" s="12" t="inlineStr">
        <is>
          <t>Pretendido</t>
        </is>
      </c>
      <c r="J6" s="13" t="n"/>
      <c r="K6" s="34" t="n"/>
      <c r="L6" s="26" t="inlineStr">
        <is>
          <t>Conforme vistoria</t>
        </is>
      </c>
      <c r="M6" s="44" t="inlineStr">
        <is>
          <t>Pendente (serviço)</t>
        </is>
      </c>
      <c r="N6" s="44" t="inlineStr">
        <is>
          <t>Orçar 30/06</t>
        </is>
      </c>
      <c r="O6" s="47" t="inlineStr">
        <is>
          <t>Bloqueador</t>
        </is>
      </c>
      <c r="P6" s="44" t="inlineStr">
        <is>
          <t>04–08/07</t>
        </is>
      </c>
      <c r="Q6" s="44" t="inlineStr">
        <is>
          <t>Prestador</t>
        </is>
      </c>
      <c r="R6" s="46" t="inlineStr">
        <is>
          <t>Defeito vira reclamação/dano</t>
        </is>
      </c>
      <c r="S6" s="46" t="inlineStr">
        <is>
          <t>Orçar 30/06; reparar</t>
        </is>
      </c>
    </row>
    <row r="7" ht="28.8" customHeight="1" s="32">
      <c r="A7" s="26" t="inlineStr">
        <is>
          <t>Consertar/alinhar portas de armário</t>
        </is>
      </c>
      <c r="B7" s="4" t="inlineStr">
        <is>
          <t>Serviço</t>
        </is>
      </c>
      <c r="C7" s="4" t="inlineStr">
        <is>
          <t>Estrutural</t>
        </is>
      </c>
      <c r="D7" s="10" t="n">
        <v>1</v>
      </c>
      <c r="E7" s="11" t="inlineStr">
        <is>
          <t>Cozinha (aparecem abertas nas fotos)</t>
        </is>
      </c>
      <c r="F7" s="10" t="inlineStr">
        <is>
          <t>-</t>
        </is>
      </c>
      <c r="G7" s="5" t="n">
        <v>250</v>
      </c>
      <c r="H7" s="5">
        <f>D7*G7</f>
        <v/>
      </c>
      <c r="I7" s="12" t="inlineStr">
        <is>
          <t>Pretendido</t>
        </is>
      </c>
      <c r="J7" s="13" t="n"/>
      <c r="K7" s="34" t="n"/>
      <c r="L7" s="26" t="inlineStr">
        <is>
          <t>Tira a cara de abandonado</t>
        </is>
      </c>
      <c r="M7" s="44" t="inlineStr">
        <is>
          <t>Pendente (serviço)</t>
        </is>
      </c>
      <c r="N7" s="44" t="inlineStr">
        <is>
          <t>Orçar 30/06</t>
        </is>
      </c>
      <c r="O7" s="45" t="inlineStr">
        <is>
          <t>Pré-go-live</t>
        </is>
      </c>
      <c r="P7" s="44" t="inlineStr">
        <is>
          <t>04–08/07</t>
        </is>
      </c>
      <c r="Q7" s="44" t="inlineStr">
        <is>
          <t>Prestador</t>
        </is>
      </c>
      <c r="R7" s="46" t="inlineStr">
        <is>
          <t>Cozinha ruim + foto ruim</t>
        </is>
      </c>
      <c r="S7" s="46" t="inlineStr">
        <is>
          <t>Executar na reforma</t>
        </is>
      </c>
    </row>
    <row r="8" ht="43.2" customHeight="1" s="32">
      <c r="A8" s="26" t="inlineStr">
        <is>
          <t>Lâmpadas LED warm white (quarto e sala) e cool white (cozinha e banheiro</t>
        </is>
      </c>
      <c r="B8" s="4" t="inlineStr">
        <is>
          <t>Compra</t>
        </is>
      </c>
      <c r="C8" s="4" t="inlineStr">
        <is>
          <t>Estrutural</t>
        </is>
      </c>
      <c r="D8" s="10" t="n">
        <v>4</v>
      </c>
      <c r="E8" s="11" t="inlineStr">
        <is>
          <t>LED branco 18W Warm white, e cool white 110V/220V</t>
        </is>
      </c>
      <c r="F8" s="10" t="inlineStr">
        <is>
          <t>Barato</t>
        </is>
      </c>
      <c r="G8" s="5" t="n">
        <v>26.3</v>
      </c>
      <c r="H8" s="5">
        <f>D8*G8</f>
        <v/>
      </c>
      <c r="I8" s="12" t="inlineStr">
        <is>
          <t>Sim</t>
        </is>
      </c>
      <c r="J8" s="13" t="n">
        <v>126.72</v>
      </c>
      <c r="K8" s="35" t="inlineStr">
        <is>
          <t>https://pt.aliexpress.com/item/1005003294765840.html?spm=a2g0o.order_detail.order_detail_item.4.368d715cac8CXF&amp;gatewayAdapt=glo2bra</t>
        </is>
      </c>
      <c r="L8" s="26" t="inlineStr">
        <is>
          <t>Luz boa = foto boa</t>
        </is>
      </c>
      <c r="M8" s="48" t="inlineStr">
        <is>
          <t>Comprado ✅</t>
        </is>
      </c>
      <c r="N8" s="44" t="inlineStr">
        <is>
          <t>Já comprado</t>
        </is>
      </c>
      <c r="O8" s="47" t="inlineStr">
        <is>
          <t>Bloqueador</t>
        </is>
      </c>
      <c r="P8" s="44" t="inlineStr">
        <is>
          <t>—</t>
        </is>
      </c>
      <c r="Q8" s="44" t="inlineStr">
        <is>
          <t>Talita</t>
        </is>
      </c>
      <c r="R8" s="46" t="inlineStr">
        <is>
          <t>—</t>
        </is>
      </c>
      <c r="S8" s="46" t="inlineStr">
        <is>
          <t>Instalar</t>
        </is>
      </c>
    </row>
    <row r="9">
      <c r="A9" t="inlineStr">
        <is>
          <t>Kit banheiro completo cromado 4 peças + ducha higiênica + acabamento de registro</t>
        </is>
      </c>
      <c r="B9" s="4" t="inlineStr">
        <is>
          <t>Compra</t>
        </is>
      </c>
      <c r="C9" s="4" t="inlineStr">
        <is>
          <t>Estrutural</t>
        </is>
      </c>
      <c r="D9" s="10" t="n">
        <v>1</v>
      </c>
      <c r="E9" s="11" t="n"/>
      <c r="F9" s="10" t="inlineStr">
        <is>
          <t>Barato</t>
        </is>
      </c>
      <c r="G9" s="5" t="n">
        <v>26.3</v>
      </c>
      <c r="H9" s="5">
        <f>D9*G9</f>
        <v/>
      </c>
      <c r="I9" s="12" t="inlineStr">
        <is>
          <t>Sim</t>
        </is>
      </c>
      <c r="J9" s="13" t="n">
        <v>76.76000000000001</v>
      </c>
      <c r="K9" s="35" t="inlineStr">
        <is>
          <t>https://shopee.com.br/Kit-Banheiro-Completo-Cromado-Luxo-4-Pe%C3%A7as-Ducha-Higi%C3%AAnica-Alta-Press%C3%A3o-Chuveirinho-Acabamento-De-Registro-Luxo-i.843273344.58207705332</t>
        </is>
      </c>
      <c r="L9" s="26" t="inlineStr">
        <is>
          <t>Luz boa = foto boa</t>
        </is>
      </c>
      <c r="M9" s="48" t="inlineStr">
        <is>
          <t>Comprado ✅</t>
        </is>
      </c>
      <c r="N9" s="44" t="inlineStr">
        <is>
          <t>Já comprado</t>
        </is>
      </c>
      <c r="O9" s="47" t="inlineStr">
        <is>
          <t>Bloqueador</t>
        </is>
      </c>
      <c r="P9" s="44" t="inlineStr">
        <is>
          <t>—</t>
        </is>
      </c>
      <c r="Q9" s="44" t="inlineStr">
        <is>
          <t>Prestador</t>
        </is>
      </c>
      <c r="R9" s="46" t="inlineStr">
        <is>
          <t>—</t>
        </is>
      </c>
      <c r="S9" s="46" t="inlineStr">
        <is>
          <t>Instalar</t>
        </is>
      </c>
    </row>
    <row r="10" ht="28.8" customHeight="1" s="32">
      <c r="A10" s="26" t="inlineStr">
        <is>
          <t>Jogo de lençol casal branco 4 peças</t>
        </is>
      </c>
      <c r="B10" s="4" t="inlineStr">
        <is>
          <t>Compra</t>
        </is>
      </c>
      <c r="C10" s="4" t="inlineStr">
        <is>
          <t>Quarto</t>
        </is>
      </c>
      <c r="D10" s="10" t="n">
        <v>2</v>
      </c>
      <c r="E10" s="11" t="inlineStr">
        <is>
          <t>400 fios micropercal</t>
        </is>
      </c>
      <c r="F10" s="10" t="inlineStr">
        <is>
          <t>Interm.</t>
        </is>
      </c>
      <c r="G10" s="5" t="n">
        <v>110</v>
      </c>
      <c r="H10" s="5">
        <f>D10*G10</f>
        <v/>
      </c>
      <c r="I10" s="12" t="inlineStr">
        <is>
          <t>Sim</t>
        </is>
      </c>
      <c r="J10" s="13" t="n">
        <v>127.64</v>
      </c>
      <c r="K10" s="35" t="inlineStr">
        <is>
          <t>https://shopee.com.br/Jogo-de-Len%C3%A7ol-4-Pe%C3%A7as-400-Fios-Micropercal-Cama-Solteiro-Casal-Queen-e-King-i.805674361.23993804201</t>
        </is>
      </c>
      <c r="L10" s="26" t="inlineStr">
        <is>
          <t>Regra dos 3 jogos</t>
        </is>
      </c>
      <c r="M10" s="48" t="inlineStr">
        <is>
          <t>Comprado ✅ (2 jogos)</t>
        </is>
      </c>
      <c r="N10" s="44" t="inlineStr">
        <is>
          <t>Já comprado</t>
        </is>
      </c>
      <c r="O10" s="47" t="inlineStr">
        <is>
          <t>Bloqueador</t>
        </is>
      </c>
      <c r="P10" s="44" t="inlineStr">
        <is>
          <t>—</t>
        </is>
      </c>
      <c r="Q10" s="44" t="inlineStr">
        <is>
          <t>Talita</t>
        </is>
      </c>
      <c r="R10" s="46" t="inlineStr">
        <is>
          <t>2 jogos = mínimo p/ abrir; 3º dá folga</t>
        </is>
      </c>
      <c r="S10" s="46" t="inlineStr">
        <is>
          <t>Comprar 3º jogo pós-go-live</t>
        </is>
      </c>
    </row>
    <row r="11" ht="28.8" customHeight="1" s="32">
      <c r="A11" s="26" t="inlineStr">
        <is>
          <t>Protetor de colchão impermeável</t>
        </is>
      </c>
      <c r="B11" s="4" t="inlineStr">
        <is>
          <t>Compra</t>
        </is>
      </c>
      <c r="C11" s="4" t="inlineStr">
        <is>
          <t>Quarto</t>
        </is>
      </c>
      <c r="D11" s="10" t="n">
        <v>2</v>
      </c>
      <c r="E11" s="11" t="inlineStr">
        <is>
          <t>Aba elástica, impermeável real, silencioso</t>
        </is>
      </c>
      <c r="F11" s="10" t="inlineStr">
        <is>
          <t>Melhor</t>
        </is>
      </c>
      <c r="G11" s="5" t="n">
        <v>100</v>
      </c>
      <c r="H11" s="5">
        <f>D11*G11</f>
        <v/>
      </c>
      <c r="I11" s="12" t="inlineStr">
        <is>
          <t>Pretendido</t>
        </is>
      </c>
      <c r="J11" s="13" t="n"/>
      <c r="K11" s="36" t="inlineStr">
        <is>
          <t>Amazon</t>
        </is>
      </c>
      <c r="L11" s="26" t="inlineStr">
        <is>
          <t>Protege o ativo mais caro (comprar em breve)</t>
        </is>
      </c>
      <c r="M11" s="44" t="inlineStr">
        <is>
          <t>Pendente</t>
        </is>
      </c>
      <c r="N11" s="44" t="inlineStr">
        <is>
          <t>Comprar agora</t>
        </is>
      </c>
      <c r="O11" s="47" t="inlineStr">
        <is>
          <t>Bloqueador</t>
        </is>
      </c>
      <c r="P11" s="44" t="inlineStr">
        <is>
          <t>até 08/07</t>
        </is>
      </c>
      <c r="Q11" s="44" t="inlineStr">
        <is>
          <t>Gestor</t>
        </is>
      </c>
      <c r="R11" s="46" t="inlineStr">
        <is>
          <t>Mancha no colchão + higiene (saúde e nota)</t>
        </is>
      </c>
      <c r="S11" s="46" t="inlineStr">
        <is>
          <t>COMPRAR JÁ — não receber hóspede sem</t>
        </is>
      </c>
    </row>
    <row r="12">
      <c r="A12" s="26" t="inlineStr">
        <is>
          <t>Travesseiro antialérgico</t>
        </is>
      </c>
      <c r="B12" s="4" t="inlineStr">
        <is>
          <t>Compra</t>
        </is>
      </c>
      <c r="C12" s="4" t="inlineStr">
        <is>
          <t>Quarto</t>
        </is>
      </c>
      <c r="D12" s="10" t="n">
        <v>4</v>
      </c>
      <c r="E12" s="11" t="inlineStr">
        <is>
          <t>Firmeza média</t>
        </is>
      </c>
      <c r="F12" s="10" t="inlineStr">
        <is>
          <t>Interm.</t>
        </is>
      </c>
      <c r="G12" s="5" t="n">
        <v>55</v>
      </c>
      <c r="H12" s="5">
        <f>D12*G12</f>
        <v/>
      </c>
      <c r="I12" s="12" t="inlineStr">
        <is>
          <t>Sim</t>
        </is>
      </c>
      <c r="J12" s="13" t="n">
        <v>58.76</v>
      </c>
      <c r="K12" s="36" t="inlineStr">
        <is>
          <t>https://shopee.com.br/Kit-2-Travesseiros-50x70cm-Alto-e-Firme-Antial%C3%A9rgico-Lav%C3%A1vel-Conforto-Premium-Macio-i.688215758.23499414421</t>
        </is>
      </c>
      <c r="L12" s="26" t="inlineStr">
        <is>
          <t>Trocar ~12 meses</t>
        </is>
      </c>
      <c r="M12" s="48" t="inlineStr">
        <is>
          <t>Comprado ✅</t>
        </is>
      </c>
      <c r="N12" s="44" t="inlineStr">
        <is>
          <t>Já comprado</t>
        </is>
      </c>
      <c r="O12" s="47" t="inlineStr">
        <is>
          <t>Bloqueador</t>
        </is>
      </c>
      <c r="P12" s="44" t="inlineStr">
        <is>
          <t>—</t>
        </is>
      </c>
      <c r="Q12" s="44" t="inlineStr">
        <is>
          <t>—</t>
        </is>
      </c>
      <c r="R12" s="46" t="inlineStr">
        <is>
          <t>—</t>
        </is>
      </c>
      <c r="S12" s="46" t="inlineStr">
        <is>
          <t>—</t>
        </is>
      </c>
    </row>
    <row r="13" ht="28.8" customHeight="1" s="32">
      <c r="A13" s="26" t="inlineStr">
        <is>
          <t>Protetor de travesseiro impermeável</t>
        </is>
      </c>
      <c r="B13" s="4" t="inlineStr">
        <is>
          <t>Compra</t>
        </is>
      </c>
      <c r="C13" s="4" t="inlineStr">
        <is>
          <t>Quarto</t>
        </is>
      </c>
      <c r="D13" s="10" t="n">
        <v>4</v>
      </c>
      <c r="E13" s="11" t="inlineStr">
        <is>
          <t>Com zíper</t>
        </is>
      </c>
      <c r="F13" s="10" t="inlineStr">
        <is>
          <t>Interm.</t>
        </is>
      </c>
      <c r="G13" s="5" t="n">
        <v>25</v>
      </c>
      <c r="H13" s="5">
        <f>D13*G13</f>
        <v/>
      </c>
      <c r="I13" s="12" t="inlineStr">
        <is>
          <t>Pretendido</t>
        </is>
      </c>
      <c r="J13" s="13" t="n"/>
      <c r="K13" s="36" t="inlineStr">
        <is>
          <t>ML</t>
        </is>
      </c>
      <c r="L13" s="26" t="inlineStr">
        <is>
          <t>Comprar em breve</t>
        </is>
      </c>
      <c r="M13" s="44" t="inlineStr">
        <is>
          <t>Pendente</t>
        </is>
      </c>
      <c r="N13" s="44" t="inlineStr">
        <is>
          <t>Comprar agora</t>
        </is>
      </c>
      <c r="O13" s="45" t="inlineStr">
        <is>
          <t>Pré-go-live</t>
        </is>
      </c>
      <c r="P13" s="44" t="inlineStr">
        <is>
          <t>até 08/07</t>
        </is>
      </c>
      <c r="Q13" s="44" t="inlineStr">
        <is>
          <t>Gestor</t>
        </is>
      </c>
      <c r="R13" s="46" t="inlineStr">
        <is>
          <t>Higiene do travesseiro reutilizado</t>
        </is>
      </c>
      <c r="S13" s="46" t="inlineStr">
        <is>
          <t>Comprar junto do protetor de colchão</t>
        </is>
      </c>
    </row>
    <row r="14">
      <c r="A14" s="26" t="inlineStr">
        <is>
          <t>Edredom/colcha branca casal</t>
        </is>
      </c>
      <c r="B14" s="4" t="inlineStr">
        <is>
          <t>Compra</t>
        </is>
      </c>
      <c r="C14" s="4" t="inlineStr">
        <is>
          <t>Quarto</t>
        </is>
      </c>
      <c r="D14" s="10" t="n">
        <v>2</v>
      </c>
      <c r="E14" s="11" t="inlineStr">
        <is>
          <t>Lavável, leve</t>
        </is>
      </c>
      <c r="F14" s="10" t="inlineStr">
        <is>
          <t>Interm.</t>
        </is>
      </c>
      <c r="G14" s="5" t="n">
        <v>175</v>
      </c>
      <c r="H14" s="5">
        <f>D14*G14</f>
        <v/>
      </c>
      <c r="I14" s="12" t="inlineStr">
        <is>
          <t>Não</t>
        </is>
      </c>
      <c r="J14" s="13" t="n"/>
      <c r="K14" s="36" t="inlineStr">
        <is>
          <t>ML</t>
        </is>
      </c>
      <c r="L14" s="26" t="n"/>
      <c r="M14" s="44" t="inlineStr">
        <is>
          <t>Pendente</t>
        </is>
      </c>
      <c r="N14" s="44" t="inlineStr">
        <is>
          <t>Reconsiderar</t>
        </is>
      </c>
      <c r="O14" s="45" t="inlineStr">
        <is>
          <t>Pré-go-live</t>
        </is>
      </c>
      <c r="P14" s="44" t="inlineStr">
        <is>
          <t>até 09/07</t>
        </is>
      </c>
      <c r="Q14" s="44" t="inlineStr">
        <is>
          <t>Gestor</t>
        </is>
      </c>
      <c r="R14" s="46" t="inlineStr">
        <is>
          <t>Cama 'pelada' na foto + frio de julho</t>
        </is>
      </c>
      <c r="S14" s="46" t="inlineStr">
        <is>
          <t>Comprar ao menos 1 cobre-leito/colcha</t>
        </is>
      </c>
    </row>
    <row r="15" ht="28.8" customHeight="1" s="32">
      <c r="A15" s="26" t="inlineStr">
        <is>
          <t>Cobertor casal microfibra</t>
        </is>
      </c>
      <c r="B15" s="4" t="inlineStr">
        <is>
          <t>Compra</t>
        </is>
      </c>
      <c r="C15" s="4" t="inlineStr">
        <is>
          <t>Quarto</t>
        </is>
      </c>
      <c r="D15" s="10" t="n">
        <v>1</v>
      </c>
      <c r="E15" s="11" t="inlineStr">
        <is>
          <t>Para o inverno de BSB</t>
        </is>
      </c>
      <c r="F15" s="10" t="inlineStr">
        <is>
          <t>Barato</t>
        </is>
      </c>
      <c r="G15" s="5" t="n">
        <v>85</v>
      </c>
      <c r="H15" s="5">
        <f>D15*G15</f>
        <v/>
      </c>
      <c r="I15" s="12" t="inlineStr">
        <is>
          <t>Pretendido</t>
        </is>
      </c>
      <c r="J15" s="13" t="n"/>
      <c r="K15" s="36" t="inlineStr">
        <is>
          <t>ML</t>
        </is>
      </c>
      <c r="L15" s="26" t="inlineStr">
        <is>
          <t>Utilizar a que já tem e comprar mais uma</t>
        </is>
      </c>
      <c r="M15" s="44" t="inlineStr">
        <is>
          <t>Pendente</t>
        </is>
      </c>
      <c r="N15" s="44" t="inlineStr">
        <is>
          <t>Comprar agora</t>
        </is>
      </c>
      <c r="O15" s="47" t="inlineStr">
        <is>
          <t>Bloqueador</t>
        </is>
      </c>
      <c r="P15" s="44" t="inlineStr">
        <is>
          <t>até 08/07</t>
        </is>
      </c>
      <c r="Q15" s="44" t="inlineStr">
        <is>
          <t>Gestor</t>
        </is>
      </c>
      <c r="R15" s="46" t="inlineStr">
        <is>
          <t>Julho é frio em BSB: hóspede com frio = nota baixa</t>
        </is>
      </c>
      <c r="S15" s="46" t="inlineStr">
        <is>
          <t>Comprar já</t>
        </is>
      </c>
    </row>
    <row r="16">
      <c r="A16" s="26" t="inlineStr">
        <is>
          <t>Toalha de banho branca</t>
        </is>
      </c>
      <c r="B16" s="4" t="inlineStr">
        <is>
          <t>Compra</t>
        </is>
      </c>
      <c r="C16" s="4" t="inlineStr">
        <is>
          <t>Banho</t>
        </is>
      </c>
      <c r="D16" s="10" t="n">
        <v>4</v>
      </c>
      <c r="E16" s="11" t="inlineStr">
        <is>
          <t>Algodão 400+ g/m²</t>
        </is>
      </c>
      <c r="F16" s="10" t="inlineStr">
        <is>
          <t>Interm.</t>
        </is>
      </c>
      <c r="G16" s="5" t="n">
        <v>50</v>
      </c>
      <c r="H16" s="5">
        <f>D16*G16</f>
        <v/>
      </c>
      <c r="I16" s="12" t="inlineStr">
        <is>
          <t>sim</t>
        </is>
      </c>
      <c r="J16" s="13" t="n">
        <v>79.45</v>
      </c>
      <c r="K16" s="36" t="n"/>
      <c r="L16" s="26" t="inlineStr">
        <is>
          <t>Review pediu toalha</t>
        </is>
      </c>
      <c r="M16" s="48" t="inlineStr">
        <is>
          <t>Comprado ✅</t>
        </is>
      </c>
      <c r="N16" s="44" t="inlineStr">
        <is>
          <t>Já comprado</t>
        </is>
      </c>
      <c r="O16" s="47" t="inlineStr">
        <is>
          <t>Bloqueador</t>
        </is>
      </c>
      <c r="P16" s="44" t="inlineStr">
        <is>
          <t>—</t>
        </is>
      </c>
      <c r="Q16" s="44" t="inlineStr">
        <is>
          <t>—</t>
        </is>
      </c>
      <c r="R16" s="46" t="inlineStr">
        <is>
          <t>—</t>
        </is>
      </c>
      <c r="S16" s="46" t="inlineStr">
        <is>
          <t>—</t>
        </is>
      </c>
    </row>
    <row r="17">
      <c r="A17" s="26" t="inlineStr">
        <is>
          <t>Toalha de rosto branca</t>
        </is>
      </c>
      <c r="B17" s="4" t="inlineStr">
        <is>
          <t>Compra</t>
        </is>
      </c>
      <c r="C17" s="4" t="inlineStr">
        <is>
          <t>Banho</t>
        </is>
      </c>
      <c r="D17" s="10" t="n">
        <v>4</v>
      </c>
      <c r="E17" s="11" t="inlineStr">
        <is>
          <t>Algodão</t>
        </is>
      </c>
      <c r="F17" s="10" t="inlineStr">
        <is>
          <t>Barato</t>
        </is>
      </c>
      <c r="G17" s="5" t="n">
        <v>21</v>
      </c>
      <c r="H17" s="5">
        <f>D17*G17</f>
        <v/>
      </c>
      <c r="I17" s="12" t="inlineStr">
        <is>
          <t>Sim</t>
        </is>
      </c>
      <c r="J17" s="13" t="n">
        <v>39.19</v>
      </c>
      <c r="K17" s="36" t="n"/>
      <c r="L17" s="26" t="n"/>
      <c r="M17" s="48" t="inlineStr">
        <is>
          <t>Comprado ✅</t>
        </is>
      </c>
      <c r="N17" s="44" t="inlineStr">
        <is>
          <t>Já comprado</t>
        </is>
      </c>
      <c r="O17" s="47" t="inlineStr">
        <is>
          <t>Bloqueador</t>
        </is>
      </c>
      <c r="P17" s="44" t="inlineStr">
        <is>
          <t>—</t>
        </is>
      </c>
      <c r="Q17" s="44" t="inlineStr">
        <is>
          <t>—</t>
        </is>
      </c>
      <c r="R17" s="46" t="inlineStr">
        <is>
          <t>—</t>
        </is>
      </c>
      <c r="S17" s="46" t="inlineStr">
        <is>
          <t>—</t>
        </is>
      </c>
    </row>
    <row r="18" ht="28.8" customHeight="1" s="32">
      <c r="A18" s="26" t="inlineStr">
        <is>
          <t>Tapete de banheiro antiderrapante</t>
        </is>
      </c>
      <c r="B18" s="4" t="inlineStr">
        <is>
          <t>Compra</t>
        </is>
      </c>
      <c r="C18" s="4" t="inlineStr">
        <is>
          <t>Banho</t>
        </is>
      </c>
      <c r="D18" s="10" t="n">
        <v>2</v>
      </c>
      <c r="E18" s="11" t="inlineStr">
        <is>
          <t>-</t>
        </is>
      </c>
      <c r="F18" s="10" t="inlineStr">
        <is>
          <t>Barato</t>
        </is>
      </c>
      <c r="G18" s="5" t="n">
        <v>35</v>
      </c>
      <c r="H18" s="5">
        <f>D18*G18</f>
        <v/>
      </c>
      <c r="I18" s="12" t="inlineStr">
        <is>
          <t>Sim</t>
        </is>
      </c>
      <c r="J18" s="13" t="n">
        <v>30.72</v>
      </c>
      <c r="K18" s="36" t="inlineStr">
        <is>
          <t>https://shopee.com.br/Tapete-Antiderrapante-De-Banheiro-Super-Absorvente-Secagem-R%C3%A1pida-Chuveiro-Cozinha-Varanda-i.502621376.23393106789</t>
        </is>
      </c>
      <c r="L18" s="26" t="n"/>
      <c r="M18" s="48" t="inlineStr">
        <is>
          <t>Comprado ✅</t>
        </is>
      </c>
      <c r="N18" s="44" t="inlineStr">
        <is>
          <t>Já comprado</t>
        </is>
      </c>
      <c r="O18" s="47" t="inlineStr">
        <is>
          <t>Bloqueador</t>
        </is>
      </c>
      <c r="P18" s="44" t="inlineStr">
        <is>
          <t>—</t>
        </is>
      </c>
      <c r="Q18" s="44" t="inlineStr">
        <is>
          <t>—</t>
        </is>
      </c>
      <c r="R18" s="46" t="inlineStr">
        <is>
          <t>—</t>
        </is>
      </c>
      <c r="S18" s="46" t="inlineStr">
        <is>
          <t>—</t>
        </is>
      </c>
    </row>
    <row r="19" ht="43.2" customHeight="1" s="32">
      <c r="A19" s="26" t="inlineStr">
        <is>
          <t>Jogo de panelas 8pç (5 panelas + espatula, escumadeira e colher grande)</t>
        </is>
      </c>
      <c r="B19" s="4" t="inlineStr">
        <is>
          <t>Compra</t>
        </is>
      </c>
      <c r="C19" s="4" t="inlineStr">
        <is>
          <t>Cozinha</t>
        </is>
      </c>
      <c r="D19" s="10" t="n">
        <v>1</v>
      </c>
      <c r="E19" s="11" t="inlineStr">
        <is>
          <t>Antiaderente</t>
        </is>
      </c>
      <c r="F19" s="10" t="inlineStr">
        <is>
          <t>Melhor</t>
        </is>
      </c>
      <c r="G19" s="5" t="n">
        <v>275</v>
      </c>
      <c r="H19" s="5">
        <f>D19*G19</f>
        <v/>
      </c>
      <c r="I19" s="12" t="inlineStr">
        <is>
          <t>Sim</t>
        </is>
      </c>
      <c r="J19" s="13" t="n">
        <v>118.15</v>
      </c>
      <c r="K19" s="35" t="inlineStr">
        <is>
          <t>https://shopee.com.br/Jogo-de-panelas-com-8-pe%C3%A7as-Antiaderente-Preto-ou-Cereja-i.1790856718.58208225918</t>
        </is>
      </c>
      <c r="L19" s="26" t="n"/>
      <c r="M19" s="48" t="inlineStr">
        <is>
          <t>Comprado ✅</t>
        </is>
      </c>
      <c r="N19" s="44" t="inlineStr">
        <is>
          <t>Já comprado</t>
        </is>
      </c>
      <c r="O19" s="47" t="inlineStr">
        <is>
          <t>Bloqueador</t>
        </is>
      </c>
      <c r="P19" s="44" t="inlineStr">
        <is>
          <t>—</t>
        </is>
      </c>
      <c r="Q19" s="44" t="inlineStr">
        <is>
          <t>—</t>
        </is>
      </c>
      <c r="R19" s="46" t="inlineStr">
        <is>
          <t>Confirmar se o set já inclui frigideira</t>
        </is>
      </c>
      <c r="S19" s="46" t="inlineStr">
        <is>
          <t>—</t>
        </is>
      </c>
    </row>
    <row r="20">
      <c r="A20" s="26" t="inlineStr">
        <is>
          <t>Frigideira antiaderente</t>
        </is>
      </c>
      <c r="B20" s="4" t="inlineStr">
        <is>
          <t>Compra</t>
        </is>
      </c>
      <c r="C20" s="4" t="inlineStr">
        <is>
          <t>Cozinha</t>
        </is>
      </c>
      <c r="D20" s="10" t="n">
        <v>1</v>
      </c>
      <c r="E20" s="11" t="inlineStr">
        <is>
          <t>-</t>
        </is>
      </c>
      <c r="F20" s="10" t="inlineStr">
        <is>
          <t>Interm.</t>
        </is>
      </c>
      <c r="G20" s="5" t="n">
        <v>105</v>
      </c>
      <c r="H20" s="5">
        <f>D20*G20</f>
        <v/>
      </c>
      <c r="I20" s="12" t="inlineStr">
        <is>
          <t>Não</t>
        </is>
      </c>
      <c r="J20" s="13" t="n"/>
      <c r="K20" s="36" t="inlineStr">
        <is>
          <t>ML</t>
        </is>
      </c>
      <c r="L20" s="26" t="inlineStr">
        <is>
          <t>Já tem no jogo de panela</t>
        </is>
      </c>
      <c r="M20" s="44" t="inlineStr">
        <is>
          <t>Pendente</t>
        </is>
      </c>
      <c r="N20" s="44" t="inlineStr">
        <is>
          <t>Avaliar</t>
        </is>
      </c>
      <c r="O20" s="45" t="inlineStr">
        <is>
          <t>Pré-go-live</t>
        </is>
      </c>
      <c r="P20" s="44" t="inlineStr">
        <is>
          <t>até 08/07</t>
        </is>
      </c>
      <c r="Q20" s="44" t="inlineStr">
        <is>
          <t>Gestor</t>
        </is>
      </c>
      <c r="R20" s="46" t="inlineStr">
        <is>
          <t>Review pediu frigideira; dispensar só se o set já tem</t>
        </is>
      </c>
      <c r="S20" s="46" t="inlineStr">
        <is>
          <t>Confirmar set; senão comprar 1 barata</t>
        </is>
      </c>
    </row>
    <row r="21" ht="28.8" customHeight="1" s="32">
      <c r="A21" s="26" t="inlineStr">
        <is>
          <t>Aparelho de jantar 20pç branco</t>
        </is>
      </c>
      <c r="B21" s="4" t="inlineStr">
        <is>
          <t>Compra</t>
        </is>
      </c>
      <c r="C21" s="4" t="inlineStr">
        <is>
          <t>Cozinha</t>
        </is>
      </c>
      <c r="D21" s="10" t="n">
        <v>1</v>
      </c>
      <c r="E21" s="11" t="inlineStr">
        <is>
          <t>Resistente, empilhável</t>
        </is>
      </c>
      <c r="F21" s="10" t="inlineStr">
        <is>
          <t>Interm.</t>
        </is>
      </c>
      <c r="G21" s="5" t="n">
        <v>295</v>
      </c>
      <c r="H21" s="5">
        <f>D21*G21</f>
        <v/>
      </c>
      <c r="I21" s="12" t="inlineStr">
        <is>
          <t>Sim</t>
        </is>
      </c>
      <c r="J21" s="13" t="n">
        <v>76.27</v>
      </c>
      <c r="K21" s="35" t="inlineStr">
        <is>
          <t>https://shopee.com.br/Aparelho-de-jantar-10-pe%C3%A7as-em-cer%C3%A2mica.-Prato-raso-fundo-sobremesa-pires-e-xicaras-i.349241462.20799000439?xptdk=14628c64-08ac-45e8-b163-8142f0f6ce58</t>
        </is>
      </c>
      <c r="L21" s="26" t="n"/>
      <c r="M21" s="48" t="inlineStr">
        <is>
          <t>Comprado ✅</t>
        </is>
      </c>
      <c r="N21" s="44" t="inlineStr">
        <is>
          <t>Já comprado</t>
        </is>
      </c>
      <c r="O21" s="47" t="inlineStr">
        <is>
          <t>Bloqueador</t>
        </is>
      </c>
      <c r="P21" s="44" t="inlineStr">
        <is>
          <t>—</t>
        </is>
      </c>
      <c r="Q21" s="44" t="inlineStr">
        <is>
          <t>—</t>
        </is>
      </c>
      <c r="R21" s="46" t="inlineStr">
        <is>
          <t>—</t>
        </is>
      </c>
      <c r="S21" s="46" t="inlineStr">
        <is>
          <t>—</t>
        </is>
      </c>
    </row>
    <row r="22">
      <c r="A22" s="26" t="inlineStr">
        <is>
          <t>Talheres 24pç</t>
        </is>
      </c>
      <c r="B22" s="4" t="inlineStr">
        <is>
          <t>Compra</t>
        </is>
      </c>
      <c r="C22" s="4" t="inlineStr">
        <is>
          <t>Cozinha</t>
        </is>
      </c>
      <c r="D22" s="10" t="n">
        <v>1</v>
      </c>
      <c r="E22" s="11" t="inlineStr">
        <is>
          <t>Preto</t>
        </is>
      </c>
      <c r="F22" s="10" t="n"/>
      <c r="G22" s="5" t="n"/>
      <c r="H22" s="5" t="n"/>
      <c r="I22" s="12" t="inlineStr">
        <is>
          <t>Sim</t>
        </is>
      </c>
      <c r="J22" s="13" t="n">
        <v>28.86</v>
      </c>
      <c r="K22" s="36" t="inlineStr">
        <is>
          <t>https://shopee.com.br/Jogo-de-24-Talheres-Inox-Com-Brinde-Suporte-Gaveteiro-ou-Pote-Talher-Colher-Garfo-Premium-i.1482870808.22594635865</t>
        </is>
      </c>
      <c r="L22" s="26" t="n"/>
      <c r="M22" s="48" t="inlineStr">
        <is>
          <t>Comprado ✅</t>
        </is>
      </c>
      <c r="N22" s="44" t="inlineStr">
        <is>
          <t>Já comprado</t>
        </is>
      </c>
      <c r="O22" s="47" t="inlineStr">
        <is>
          <t>Bloqueador</t>
        </is>
      </c>
      <c r="P22" s="44" t="inlineStr">
        <is>
          <t>—</t>
        </is>
      </c>
      <c r="Q22" s="44" t="inlineStr">
        <is>
          <t>—</t>
        </is>
      </c>
      <c r="R22" s="46" t="inlineStr">
        <is>
          <t>—</t>
        </is>
      </c>
      <c r="S22" s="46" t="inlineStr">
        <is>
          <t>—</t>
        </is>
      </c>
    </row>
    <row r="23" ht="28.8" customHeight="1" s="32">
      <c r="A23" s="26" t="inlineStr">
        <is>
          <t>Copos</t>
        </is>
      </c>
      <c r="B23" s="4" t="inlineStr">
        <is>
          <t>Compra</t>
        </is>
      </c>
      <c r="C23" s="4" t="inlineStr">
        <is>
          <t>Cozinha</t>
        </is>
      </c>
      <c r="D23" s="10" t="n">
        <v>1</v>
      </c>
      <c r="E23" s="11" t="inlineStr">
        <is>
          <t>Faqueiro, copos, concha, espátula, coador</t>
        </is>
      </c>
      <c r="F23" s="10" t="inlineStr">
        <is>
          <t>Interm.</t>
        </is>
      </c>
      <c r="G23" s="5" t="n">
        <v>250</v>
      </c>
      <c r="H23" s="5">
        <f>D23*G23</f>
        <v/>
      </c>
      <c r="I23" s="12" t="inlineStr">
        <is>
          <t>Pretendido</t>
        </is>
      </c>
      <c r="J23" s="13" t="n"/>
      <c r="K23" s="36" t="inlineStr">
        <is>
          <t>ML</t>
        </is>
      </c>
      <c r="L23" s="26" t="inlineStr">
        <is>
          <t>Utensilhos já tem, Pretende-se comprar apenas copos</t>
        </is>
      </c>
      <c r="M23" s="44" t="inlineStr">
        <is>
          <t>Pendente</t>
        </is>
      </c>
      <c r="N23" s="44" t="inlineStr">
        <is>
          <t>Comprar agora</t>
        </is>
      </c>
      <c r="O23" s="47" t="inlineStr">
        <is>
          <t>Bloqueador</t>
        </is>
      </c>
      <c r="P23" s="44" t="inlineStr">
        <is>
          <t>até 08/07</t>
        </is>
      </c>
      <c r="Q23" s="44" t="inlineStr">
        <is>
          <t>Gestor</t>
        </is>
      </c>
      <c r="R23" s="46" t="inlineStr">
        <is>
          <t>Hóspede sem copo = função básica faltando</t>
        </is>
      </c>
      <c r="S23" s="46" t="inlineStr">
        <is>
          <t>Comprar já (barato)</t>
        </is>
      </c>
    </row>
    <row r="24">
      <c r="A24" s="26" t="inlineStr">
        <is>
          <t>Cafeteira elétrica 220V</t>
        </is>
      </c>
      <c r="B24" s="4" t="inlineStr">
        <is>
          <t>Compra</t>
        </is>
      </c>
      <c r="C24" s="4" t="inlineStr">
        <is>
          <t>Cozinha</t>
        </is>
      </c>
      <c r="D24" s="10" t="n">
        <v>1</v>
      </c>
      <c r="E24" s="11" t="inlineStr">
        <is>
          <t>600ml, filtro permanente</t>
        </is>
      </c>
      <c r="F24" s="10" t="inlineStr">
        <is>
          <t>Interm.</t>
        </is>
      </c>
      <c r="G24" s="5" t="n">
        <v>140</v>
      </c>
      <c r="H24" s="5">
        <f>D24*G24</f>
        <v/>
      </c>
      <c r="I24" s="12" t="inlineStr">
        <is>
          <t>Pretendido</t>
        </is>
      </c>
      <c r="J24" s="13" t="n"/>
      <c r="K24" s="36" t="inlineStr">
        <is>
          <t>Amazon</t>
        </is>
      </c>
      <c r="L24" s="26" t="inlineStr">
        <is>
          <t>220V! Brasília</t>
        </is>
      </c>
      <c r="M24" s="44" t="inlineStr">
        <is>
          <t>Pendente</t>
        </is>
      </c>
      <c r="N24" s="44" t="inlineStr">
        <is>
          <t>Comprar agora</t>
        </is>
      </c>
      <c r="O24" s="45" t="inlineStr">
        <is>
          <t>Pré-go-live</t>
        </is>
      </c>
      <c r="P24" s="44" t="inlineStr">
        <is>
          <t>até 09/07</t>
        </is>
      </c>
      <c r="Q24" s="44" t="inlineStr">
        <is>
          <t>Gestor</t>
        </is>
      </c>
      <c r="R24" s="46" t="inlineStr">
        <is>
          <t>Café é alto ROI em avaliação; perde hospitalidade</t>
        </is>
      </c>
      <c r="S24" s="46" t="inlineStr">
        <is>
          <t>Comprar (barato)</t>
        </is>
      </c>
    </row>
    <row r="25" ht="28.8" customHeight="1" s="32">
      <c r="A25" s="26" t="inlineStr">
        <is>
          <t>Detector de monoxido de carbono</t>
        </is>
      </c>
      <c r="B25" s="4" t="inlineStr">
        <is>
          <t>Compra</t>
        </is>
      </c>
      <c r="C25" s="4" t="inlineStr">
        <is>
          <t>Segurança</t>
        </is>
      </c>
      <c r="D25" s="10" t="n">
        <v>1</v>
      </c>
      <c r="E25" s="11" t="n"/>
      <c r="F25" s="10" t="n"/>
      <c r="G25" s="5" t="n"/>
      <c r="H25" s="5" t="n"/>
      <c r="I25" s="12" t="inlineStr">
        <is>
          <t>Sim</t>
        </is>
      </c>
      <c r="J25" s="13" t="n">
        <v>54.45</v>
      </c>
      <c r="K25" s="36" t="inlineStr">
        <is>
          <t>https://shopee.com.br/Detector-Digital-De-Mon%C3%B3xido-De-Carbono-LCD-Dom%C3%A9stico-CO-Alarme-Sensor-Monitor-i.191710221.40030381248</t>
        </is>
      </c>
      <c r="L25" s="26" t="n"/>
      <c r="M25" s="48" t="inlineStr">
        <is>
          <t>Comprado ✅</t>
        </is>
      </c>
      <c r="N25" s="44" t="inlineStr">
        <is>
          <t>Já comprado</t>
        </is>
      </c>
      <c r="O25" s="47" t="inlineStr">
        <is>
          <t>Bloqueador</t>
        </is>
      </c>
      <c r="P25" s="44" t="inlineStr">
        <is>
          <t>—</t>
        </is>
      </c>
      <c r="Q25" s="44" t="inlineStr">
        <is>
          <t>—</t>
        </is>
      </c>
      <c r="R25" s="46" t="inlineStr">
        <is>
          <t>Segurança</t>
        </is>
      </c>
      <c r="S25" s="46" t="inlineStr">
        <is>
          <t>Instalar</t>
        </is>
      </c>
    </row>
    <row r="26">
      <c r="A26" s="26" t="inlineStr">
        <is>
          <t>Detector de fumaça</t>
        </is>
      </c>
      <c r="B26" s="4" t="inlineStr">
        <is>
          <t>Compra</t>
        </is>
      </c>
      <c r="C26" s="4" t="inlineStr">
        <is>
          <t>Segurança</t>
        </is>
      </c>
      <c r="D26" s="10" t="n">
        <v>1</v>
      </c>
      <c r="E26" s="11" t="inlineStr">
        <is>
          <t>Bateria longa</t>
        </is>
      </c>
      <c r="F26" s="10" t="inlineStr">
        <is>
          <t>Interm.</t>
        </is>
      </c>
      <c r="G26" s="5" t="n">
        <v>105</v>
      </c>
      <c r="H26" s="5">
        <f>D26*G26</f>
        <v/>
      </c>
      <c r="I26" s="12" t="inlineStr">
        <is>
          <t>Sim</t>
        </is>
      </c>
      <c r="J26" s="13" t="n">
        <v>20.16</v>
      </c>
      <c r="K26" s="35" t="inlineStr">
        <is>
          <t>https://pt.aliexpress.com/item/1005003294765840.html?spm=a2g0o.order_detail.order_detail_item.4.368d715cac8CXF&amp;gatewayAdapt=glo2bra</t>
        </is>
      </c>
      <c r="L26" s="26" t="inlineStr">
        <is>
          <t>Comodidade de segurança</t>
        </is>
      </c>
      <c r="M26" s="48" t="inlineStr">
        <is>
          <t>Comprado ✅</t>
        </is>
      </c>
      <c r="N26" s="44" t="inlineStr">
        <is>
          <t>Já comprado</t>
        </is>
      </c>
      <c r="O26" s="47" t="inlineStr">
        <is>
          <t>Bloqueador</t>
        </is>
      </c>
      <c r="P26" s="44" t="inlineStr">
        <is>
          <t>—</t>
        </is>
      </c>
      <c r="Q26" s="44" t="inlineStr">
        <is>
          <t>—</t>
        </is>
      </c>
      <c r="R26" s="46" t="inlineStr">
        <is>
          <t>Segurança</t>
        </is>
      </c>
      <c r="S26" s="46" t="inlineStr">
        <is>
          <t>Instalar</t>
        </is>
      </c>
    </row>
    <row r="27">
      <c r="A27" s="26" t="inlineStr">
        <is>
          <t>Extintor ABC</t>
        </is>
      </c>
      <c r="B27" s="4" t="inlineStr">
        <is>
          <t>Compra</t>
        </is>
      </c>
      <c r="C27" s="4" t="inlineStr">
        <is>
          <t>Segurança</t>
        </is>
      </c>
      <c r="D27" s="10" t="n">
        <v>1</v>
      </c>
      <c r="E27" s="11" t="inlineStr">
        <is>
          <t>Residencial</t>
        </is>
      </c>
      <c r="F27" s="10" t="inlineStr">
        <is>
          <t>Interm.</t>
        </is>
      </c>
      <c r="G27" s="5" t="n">
        <v>115</v>
      </c>
      <c r="H27" s="5">
        <f>D27*G27</f>
        <v/>
      </c>
      <c r="I27" s="12" t="inlineStr">
        <is>
          <t>Não</t>
        </is>
      </c>
      <c r="J27" s="13" t="n"/>
      <c r="K27" s="36" t="inlineStr">
        <is>
          <t>ML</t>
        </is>
      </c>
      <c r="L27" s="26" t="n"/>
      <c r="M27" s="44" t="inlineStr">
        <is>
          <t>Pendente</t>
        </is>
      </c>
      <c r="N27" s="44" t="inlineStr">
        <is>
          <t>Reconsiderar</t>
        </is>
      </c>
      <c r="O27" s="45" t="inlineStr">
        <is>
          <t>Pré-go-live</t>
        </is>
      </c>
      <c r="P27" s="44" t="inlineStr">
        <is>
          <t>até 09/07</t>
        </is>
      </c>
      <c r="Q27" s="44" t="inlineStr">
        <is>
          <t>Gestor</t>
        </is>
      </c>
      <c r="R27" s="46" t="inlineStr">
        <is>
          <t>Segurança/confiança; baixo custo</t>
        </is>
      </c>
      <c r="S27" s="46" t="inlineStr">
        <is>
          <t>Reconsiderar comprar</t>
        </is>
      </c>
    </row>
    <row r="28">
      <c r="A28" s="26" t="inlineStr">
        <is>
          <t>Kit primeiros socorros</t>
        </is>
      </c>
      <c r="B28" s="4" t="inlineStr">
        <is>
          <t>Compra</t>
        </is>
      </c>
      <c r="C28" s="4" t="inlineStr">
        <is>
          <t>Segurança</t>
        </is>
      </c>
      <c r="D28" s="10" t="n">
        <v>1</v>
      </c>
      <c r="E28" s="11" t="inlineStr">
        <is>
          <t>-</t>
        </is>
      </c>
      <c r="F28" s="10" t="inlineStr">
        <is>
          <t>Barato</t>
        </is>
      </c>
      <c r="G28" s="5" t="n">
        <v>65</v>
      </c>
      <c r="H28" s="5">
        <f>D28*G28</f>
        <v/>
      </c>
      <c r="I28" s="12" t="inlineStr">
        <is>
          <t>Não</t>
        </is>
      </c>
      <c r="J28" s="13" t="n"/>
      <c r="K28" s="36" t="inlineStr">
        <is>
          <t>ML</t>
        </is>
      </c>
      <c r="L28" s="26" t="n"/>
      <c r="M28" s="44" t="inlineStr">
        <is>
          <t>Pendente</t>
        </is>
      </c>
      <c r="N28" s="44" t="inlineStr">
        <is>
          <t>Reconsiderar</t>
        </is>
      </c>
      <c r="O28" s="45" t="inlineStr">
        <is>
          <t>Pré-go-live</t>
        </is>
      </c>
      <c r="P28" s="44" t="inlineStr">
        <is>
          <t>até 09/07</t>
        </is>
      </c>
      <c r="Q28" s="44" t="inlineStr">
        <is>
          <t>Gestor</t>
        </is>
      </c>
      <c r="R28" s="46" t="inlineStr">
        <is>
          <t>Segurança/hospitalidade; item barato</t>
        </is>
      </c>
      <c r="S28" s="46" t="inlineStr">
        <is>
          <t>Opcional, recomendado</t>
        </is>
      </c>
    </row>
    <row r="29" ht="28.8" customHeight="1" s="32">
      <c r="A29" s="26" t="inlineStr">
        <is>
          <t>Kit de limpeza inicial</t>
        </is>
      </c>
      <c r="B29" s="4" t="inlineStr">
        <is>
          <t>Compra</t>
        </is>
      </c>
      <c r="C29" s="4" t="inlineStr">
        <is>
          <t>Limpeza</t>
        </is>
      </c>
      <c r="D29" s="10" t="n">
        <v>1</v>
      </c>
      <c r="E29" s="11" t="inlineStr">
        <is>
          <t>Detergente, multiuso, panos, vassoura, rodo, balde</t>
        </is>
      </c>
      <c r="F29" s="10" t="inlineStr">
        <is>
          <t>Barato</t>
        </is>
      </c>
      <c r="G29" s="5" t="n">
        <v>185</v>
      </c>
      <c r="H29" s="5">
        <f>D29*G29</f>
        <v/>
      </c>
      <c r="I29" s="12" t="inlineStr">
        <is>
          <t>Pretendido</t>
        </is>
      </c>
      <c r="J29" s="13" t="n"/>
      <c r="K29" s="36" t="inlineStr">
        <is>
          <t>ML</t>
        </is>
      </c>
      <c r="L29" s="26" t="n"/>
      <c r="M29" s="44" t="inlineStr">
        <is>
          <t>Pendente</t>
        </is>
      </c>
      <c r="N29" s="44" t="inlineStr">
        <is>
          <t>Comprar agora</t>
        </is>
      </c>
      <c r="O29" s="47" t="inlineStr">
        <is>
          <t>Bloqueador</t>
        </is>
      </c>
      <c r="P29" s="44" t="inlineStr">
        <is>
          <t>até 09/07</t>
        </is>
      </c>
      <c r="Q29" s="44" t="inlineStr">
        <is>
          <t>Gestor/Talita</t>
        </is>
      </c>
      <c r="R29" s="46" t="inlineStr">
        <is>
          <t>Sem material a secretária não faz o turnover</t>
        </is>
      </c>
      <c r="S29" s="46" t="inlineStr">
        <is>
          <t>Comprar antes da faxina</t>
        </is>
      </c>
    </row>
    <row r="30">
      <c r="A30" s="26" t="inlineStr">
        <is>
          <t>Ventilador coluna/torre 220V</t>
        </is>
      </c>
      <c r="B30" s="4" t="inlineStr">
        <is>
          <t>Compra</t>
        </is>
      </c>
      <c r="C30" s="4" t="inlineStr">
        <is>
          <t>Conforto</t>
        </is>
      </c>
      <c r="D30" s="10" t="n">
        <v>1</v>
      </c>
      <c r="E30" s="11" t="inlineStr">
        <is>
          <t>Silencioso</t>
        </is>
      </c>
      <c r="F30" s="10" t="inlineStr">
        <is>
          <t>Interm.</t>
        </is>
      </c>
      <c r="G30" s="5" t="n">
        <v>225</v>
      </c>
      <c r="H30" s="5">
        <f>D30*G30</f>
        <v/>
      </c>
      <c r="I30" s="12" t="inlineStr">
        <is>
          <t>Pretendido</t>
        </is>
      </c>
      <c r="J30" s="13" t="n"/>
      <c r="K30" s="36" t="inlineStr">
        <is>
          <t>ML</t>
        </is>
      </c>
      <c r="L30" s="26" t="inlineStr">
        <is>
          <t>AGORA (split fica p/ ago/set)</t>
        </is>
      </c>
      <c r="M30" s="44" t="inlineStr">
        <is>
          <t>Pendente</t>
        </is>
      </c>
      <c r="N30" s="44" t="inlineStr">
        <is>
          <t>Adiar</t>
        </is>
      </c>
      <c r="O30" s="49" t="inlineStr">
        <is>
          <t>Pós-go-live 30d</t>
        </is>
      </c>
      <c r="P30" s="44" t="inlineStr">
        <is>
          <t>até 31/08</t>
        </is>
      </c>
      <c r="Q30" s="44" t="inlineStr">
        <is>
          <t>Gestor</t>
        </is>
      </c>
      <c r="R30" s="46" t="inlineStr">
        <is>
          <t>Conforto no calor (set+), NÃO em julho (frio)</t>
        </is>
      </c>
      <c r="S30" s="46" t="inlineStr">
        <is>
          <t>Comprar antes da estação quente</t>
        </is>
      </c>
    </row>
    <row r="31">
      <c r="A31" s="26" t="inlineStr">
        <is>
          <t>Smart TV 32" Full HD</t>
        </is>
      </c>
      <c r="B31" s="4" t="inlineStr">
        <is>
          <t>Compra</t>
        </is>
      </c>
      <c r="C31" s="4" t="inlineStr">
        <is>
          <t>Conforto</t>
        </is>
      </c>
      <c r="D31" s="10" t="n">
        <v>1</v>
      </c>
      <c r="E31" s="11" t="inlineStr">
        <is>
          <t>Smart, Full HD</t>
        </is>
      </c>
      <c r="F31" s="10" t="inlineStr">
        <is>
          <t>Interm.</t>
        </is>
      </c>
      <c r="G31" s="5" t="n">
        <v>900</v>
      </c>
      <c r="H31" s="5">
        <f>D31*G31</f>
        <v/>
      </c>
      <c r="I31" s="12" t="inlineStr">
        <is>
          <t>Não</t>
        </is>
      </c>
      <c r="J31" s="13" t="n"/>
      <c r="K31" s="36" t="inlineStr">
        <is>
          <t>ML</t>
        </is>
      </c>
      <c r="L31" s="26" t="inlineStr">
        <is>
          <t>TCL S5400A bom custo</t>
        </is>
      </c>
      <c r="M31" s="44" t="inlineStr">
        <is>
          <t>Pendente</t>
        </is>
      </c>
      <c r="N31" s="44" t="inlineStr">
        <is>
          <t>Não comprar agora</t>
        </is>
      </c>
      <c r="O31" s="50" t="inlineStr">
        <is>
          <t>Pós-ROI 60d</t>
        </is>
      </c>
      <c r="P31" s="44" t="inlineStr">
        <is>
          <t>após validar ROI</t>
        </is>
      </c>
      <c r="Q31" s="44" t="inlineStr">
        <is>
          <t>Gestor</t>
        </is>
      </c>
      <c r="R31" s="46" t="inlineStr">
        <is>
          <t>Lacuna de review/filtro de busca</t>
        </is>
      </c>
      <c r="S31" s="46" t="inlineStr">
        <is>
          <t>Reavaliar após 1ªs receitas</t>
        </is>
      </c>
    </row>
    <row r="32">
      <c r="A32" s="26" t="inlineStr">
        <is>
          <t>Suporte de parede p/ TV</t>
        </is>
      </c>
      <c r="B32" s="4" t="inlineStr">
        <is>
          <t>Compra</t>
        </is>
      </c>
      <c r="C32" s="4" t="inlineStr">
        <is>
          <t>Conforto</t>
        </is>
      </c>
      <c r="D32" s="10" t="n">
        <v>1</v>
      </c>
      <c r="E32" s="11" t="inlineStr">
        <is>
          <t>Fixo</t>
        </is>
      </c>
      <c r="F32" s="10" t="inlineStr">
        <is>
          <t>Barato</t>
        </is>
      </c>
      <c r="G32" s="5" t="n">
        <v>55</v>
      </c>
      <c r="H32" s="5">
        <f>D32*G32</f>
        <v/>
      </c>
      <c r="I32" s="12" t="inlineStr">
        <is>
          <t>Não</t>
        </is>
      </c>
      <c r="J32" s="13" t="n"/>
      <c r="K32" s="36" t="inlineStr">
        <is>
          <t>ML</t>
        </is>
      </c>
      <c r="L32" s="26" t="n"/>
      <c r="M32" s="44" t="inlineStr">
        <is>
          <t>Pendente</t>
        </is>
      </c>
      <c r="N32" s="44" t="inlineStr">
        <is>
          <t>Não comprar agora</t>
        </is>
      </c>
      <c r="O32" s="50" t="inlineStr">
        <is>
          <t>Pós-ROI 60d</t>
        </is>
      </c>
      <c r="P32" s="44" t="inlineStr">
        <is>
          <t>com a TV</t>
        </is>
      </c>
      <c r="Q32" s="44" t="inlineStr">
        <is>
          <t>Gestor</t>
        </is>
      </c>
      <c r="R32" s="46" t="inlineStr">
        <is>
          <t>—</t>
        </is>
      </c>
      <c r="S32" s="46" t="inlineStr">
        <is>
          <t>Comprar junto da TV</t>
        </is>
      </c>
    </row>
    <row r="33" ht="43.2" customHeight="1" s="32">
      <c r="A33" s="26" t="inlineStr">
        <is>
          <t>Armário/gaveteiro com chave</t>
        </is>
      </c>
      <c r="B33" s="4" t="inlineStr">
        <is>
          <t>Compra</t>
        </is>
      </c>
      <c r="C33" s="4" t="inlineStr">
        <is>
          <t>Automação</t>
        </is>
      </c>
      <c r="D33" s="10" t="n">
        <v>1</v>
      </c>
      <c r="E33" s="11" t="inlineStr">
        <is>
          <t>Para enxoval e estoque</t>
        </is>
      </c>
      <c r="F33" s="10" t="inlineStr">
        <is>
          <t>Interm.</t>
        </is>
      </c>
      <c r="G33" s="5" t="n">
        <v>400</v>
      </c>
      <c r="H33" s="5">
        <f>D33*G33</f>
        <v/>
      </c>
      <c r="I33" s="12" t="inlineStr">
        <is>
          <t>Não</t>
        </is>
      </c>
      <c r="J33" s="13" t="n"/>
      <c r="K33" s="36" t="inlineStr">
        <is>
          <t>ML</t>
        </is>
      </c>
      <c r="L33" s="26" t="inlineStr">
        <is>
          <t>Será colocada apenas uma tranca em armário já existente</t>
        </is>
      </c>
      <c r="M33" s="44" t="inlineStr">
        <is>
          <t>Pendente</t>
        </is>
      </c>
      <c r="N33" s="44" t="inlineStr">
        <is>
          <t>Adiar</t>
        </is>
      </c>
      <c r="O33" s="49" t="inlineStr">
        <is>
          <t>Pós-go-live 30d</t>
        </is>
      </c>
      <c r="P33" s="44" t="inlineStr">
        <is>
          <t>até 31/07</t>
        </is>
      </c>
      <c r="Q33" s="44" t="inlineStr">
        <is>
          <t>Gestor/Talita</t>
        </is>
      </c>
      <c r="R33" s="46" t="inlineStr">
        <is>
          <t>Segurança do estoque/enxoval</t>
        </is>
      </c>
      <c r="S33" s="46" t="inlineStr">
        <is>
          <t>Usar armário existente c/ cadeado por ora</t>
        </is>
      </c>
    </row>
    <row r="34">
      <c r="A34" s="26" t="inlineStr">
        <is>
          <t>Organizadores + etiquetas</t>
        </is>
      </c>
      <c r="B34" s="4" t="inlineStr">
        <is>
          <t>Compra</t>
        </is>
      </c>
      <c r="C34" s="4" t="inlineStr">
        <is>
          <t>Automação</t>
        </is>
      </c>
      <c r="D34" s="10" t="n">
        <v>1</v>
      </c>
      <c r="E34" s="11" t="inlineStr">
        <is>
          <t>Caixas, cestos, etiquetas</t>
        </is>
      </c>
      <c r="F34" s="10" t="inlineStr">
        <is>
          <t>Barato</t>
        </is>
      </c>
      <c r="G34" s="5" t="n">
        <v>140</v>
      </c>
      <c r="H34" s="5">
        <f>D34*G34</f>
        <v/>
      </c>
      <c r="I34" s="12" t="inlineStr">
        <is>
          <t>Não</t>
        </is>
      </c>
      <c r="J34" s="13" t="n"/>
      <c r="K34" s="36" t="inlineStr">
        <is>
          <t>ML</t>
        </is>
      </c>
      <c r="L34" s="26" t="n"/>
      <c r="M34" s="44" t="inlineStr">
        <is>
          <t>Pendente</t>
        </is>
      </c>
      <c r="N34" s="44" t="inlineStr">
        <is>
          <t>Adiar</t>
        </is>
      </c>
      <c r="O34" s="49" t="inlineStr">
        <is>
          <t>Pós-go-live 30d</t>
        </is>
      </c>
      <c r="P34" s="44" t="inlineStr">
        <is>
          <t>até 31/07</t>
        </is>
      </c>
      <c r="Q34" s="44" t="inlineStr">
        <is>
          <t>Talita</t>
        </is>
      </c>
      <c r="R34" s="46" t="inlineStr">
        <is>
          <t>Organização do estoque</t>
        </is>
      </c>
      <c r="S34" s="46" t="inlineStr">
        <is>
          <t>Depois</t>
        </is>
      </c>
    </row>
    <row r="35" ht="28.8" customHeight="1" s="32">
      <c r="A35" s="26" t="inlineStr">
        <is>
          <t>Cofre de chave (lockbox) backup</t>
        </is>
      </c>
      <c r="B35" s="4" t="inlineStr">
        <is>
          <t>Compra</t>
        </is>
      </c>
      <c r="C35" s="4" t="inlineStr">
        <is>
          <t>Automação</t>
        </is>
      </c>
      <c r="D35" s="10" t="n">
        <v>1</v>
      </c>
      <c r="E35" s="11" t="inlineStr">
        <is>
          <t>Senha mecânica</t>
        </is>
      </c>
      <c r="F35" s="10" t="inlineStr">
        <is>
          <t>Interm.</t>
        </is>
      </c>
      <c r="G35" s="5" t="n">
        <v>105</v>
      </c>
      <c r="H35" s="5">
        <f>D35*G35</f>
        <v/>
      </c>
      <c r="I35" s="12" t="inlineStr">
        <is>
          <t>Não</t>
        </is>
      </c>
      <c r="J35" s="13" t="n"/>
      <c r="K35" s="36" t="inlineStr">
        <is>
          <t>ML</t>
        </is>
      </c>
      <c r="L35" s="26" t="inlineStr">
        <is>
          <t>Backup da fechadura</t>
        </is>
      </c>
      <c r="M35" s="44" t="inlineStr">
        <is>
          <t>Pendente</t>
        </is>
      </c>
      <c r="N35" s="44" t="inlineStr">
        <is>
          <t>Reconsiderar</t>
        </is>
      </c>
      <c r="O35" s="45" t="inlineStr">
        <is>
          <t>Pré-go-live</t>
        </is>
      </c>
      <c r="P35" s="44" t="inlineStr">
        <is>
          <t>até 09/07</t>
        </is>
      </c>
      <c r="Q35" s="44" t="inlineStr">
        <is>
          <t>Gestor</t>
        </is>
      </c>
      <c r="R35" s="46" t="inlineStr">
        <is>
          <t>Se a fechadura falhar, sem plano B de acesso remoto</t>
        </is>
      </c>
      <c r="S35" s="46" t="inlineStr">
        <is>
          <t>Reconsiderar (baixo custo, de-risca acesso)</t>
        </is>
      </c>
    </row>
    <row r="36" ht="28.8" customHeight="1" s="32">
      <c r="A36" s="26" t="inlineStr">
        <is>
          <t>Estoque inicial de consumíveis</t>
        </is>
      </c>
      <c r="B36" s="4" t="inlineStr">
        <is>
          <t>Compra</t>
        </is>
      </c>
      <c r="C36" s="4" t="inlineStr">
        <is>
          <t>Reposição</t>
        </is>
      </c>
      <c r="D36" s="10" t="n">
        <v>1</v>
      </c>
      <c r="E36" s="11" t="inlineStr">
        <is>
          <t>Papel, sabonete, shampoo, café, açúcar, etc. (2 turnovers)</t>
        </is>
      </c>
      <c r="F36" s="10" t="inlineStr">
        <is>
          <t>Barato</t>
        </is>
      </c>
      <c r="G36" s="5" t="n">
        <v>225</v>
      </c>
      <c r="H36" s="5">
        <f>D36*G36</f>
        <v/>
      </c>
      <c r="I36" s="12" t="inlineStr">
        <is>
          <t>Pretendido</t>
        </is>
      </c>
      <c r="J36" s="13" t="n"/>
      <c r="K36" s="34" t="n"/>
      <c r="L36" s="26" t="inlineStr">
        <is>
          <t>Mercado local</t>
        </is>
      </c>
      <c r="M36" s="44" t="inlineStr">
        <is>
          <t>Pendente</t>
        </is>
      </c>
      <c r="N36" s="44" t="inlineStr">
        <is>
          <t>Comprar agora</t>
        </is>
      </c>
      <c r="O36" s="47" t="inlineStr">
        <is>
          <t>Bloqueador</t>
        </is>
      </c>
      <c r="P36" s="44" t="inlineStr">
        <is>
          <t>09/07</t>
        </is>
      </c>
      <c r="Q36" s="44" t="inlineStr">
        <is>
          <t>Gestor/Talita</t>
        </is>
      </c>
      <c r="R36" s="46" t="inlineStr">
        <is>
          <t>Hóspede sem itens básicos no check-in</t>
        </is>
      </c>
      <c r="S36" s="46" t="inlineStr">
        <is>
          <t>Comprar antes da 1ª reserva</t>
        </is>
      </c>
    </row>
    <row r="37">
      <c r="A37" s="26" t="inlineStr">
        <is>
          <t>Fechadura eletrônica</t>
        </is>
      </c>
      <c r="B37" s="4" t="inlineStr">
        <is>
          <t>Compra</t>
        </is>
      </c>
      <c r="C37" s="4" t="inlineStr">
        <is>
          <t>Automação</t>
        </is>
      </c>
      <c r="D37" s="10" t="n">
        <v>1</v>
      </c>
      <c r="E37" s="11" t="inlineStr">
        <is>
          <t>Senha por hóspede</t>
        </is>
      </c>
      <c r="F37" s="10" t="inlineStr">
        <is>
          <t>Melhor</t>
        </is>
      </c>
      <c r="G37" s="5" t="n">
        <v>0</v>
      </c>
      <c r="H37" s="5">
        <f>D37*G37</f>
        <v/>
      </c>
      <c r="I37" s="12" t="inlineStr">
        <is>
          <t>Sim</t>
        </is>
      </c>
      <c r="J37" s="13" t="n">
        <v>400.35</v>
      </c>
      <c r="K37" s="34" t="n"/>
      <c r="L37" s="26" t="inlineStr">
        <is>
          <t>JÁ COMPRADA ✅</t>
        </is>
      </c>
      <c r="M37" s="48" t="inlineStr">
        <is>
          <t>Comprado ✅</t>
        </is>
      </c>
      <c r="N37" s="44" t="inlineStr">
        <is>
          <t>Já comprado</t>
        </is>
      </c>
      <c r="O37" s="47" t="inlineStr">
        <is>
          <t>Bloqueador</t>
        </is>
      </c>
      <c r="P37" s="44" t="inlineStr">
        <is>
          <t>—</t>
        </is>
      </c>
      <c r="Q37" s="44" t="inlineStr">
        <is>
          <t>—</t>
        </is>
      </c>
      <c r="R37" s="46" t="inlineStr">
        <is>
          <t>Acesso remoto</t>
        </is>
      </c>
      <c r="S37" s="46" t="inlineStr">
        <is>
          <t>Testar gerar/expirar senha</t>
        </is>
      </c>
    </row>
    <row r="38">
      <c r="A38" s="27" t="inlineStr">
        <is>
          <t>TOTAL</t>
        </is>
      </c>
      <c r="B38" s="37" t="n"/>
      <c r="C38" s="37" t="n"/>
      <c r="D38" s="37" t="n"/>
      <c r="E38" s="37" t="n"/>
      <c r="F38" s="37" t="n"/>
      <c r="G38" s="37" t="n"/>
      <c r="H38" s="7">
        <f>SUM(H4:H37)</f>
        <v/>
      </c>
      <c r="I38" s="37" t="n"/>
      <c r="J38" s="7">
        <f>SUM(J4:J37)</f>
        <v/>
      </c>
      <c r="K38" s="37" t="n"/>
      <c r="L38" s="30" t="n"/>
    </row>
  </sheetData>
  <dataValidations count="1">
    <dataValidation sqref="I4:I37" showDropDown="0" showInputMessage="0" showErrorMessage="0" allowBlank="1" type="list">
      <formula1>"Sim,Não,Parcial"</formula1>
    </dataValidation>
  </dataValidations>
  <hyperlinks>
    <hyperlink xmlns:r="http://schemas.openxmlformats.org/officeDocument/2006/relationships" ref="K8" r:id="rId1"/>
    <hyperlink xmlns:r="http://schemas.openxmlformats.org/officeDocument/2006/relationships" ref="K10" r:id="rId2"/>
    <hyperlink xmlns:r="http://schemas.openxmlformats.org/officeDocument/2006/relationships" ref="K11" r:id="rId3"/>
    <hyperlink xmlns:r="http://schemas.openxmlformats.org/officeDocument/2006/relationships" ref="K13" r:id="rId4"/>
    <hyperlink xmlns:r="http://schemas.openxmlformats.org/officeDocument/2006/relationships" ref="K14" r:id="rId5"/>
    <hyperlink xmlns:r="http://schemas.openxmlformats.org/officeDocument/2006/relationships" ref="K15" r:id="rId6"/>
    <hyperlink xmlns:r="http://schemas.openxmlformats.org/officeDocument/2006/relationships" ref="K19" r:id="rId7"/>
    <hyperlink xmlns:r="http://schemas.openxmlformats.org/officeDocument/2006/relationships" ref="K20" r:id="rId8"/>
    <hyperlink xmlns:r="http://schemas.openxmlformats.org/officeDocument/2006/relationships" ref="K21" r:id="rId9"/>
    <hyperlink xmlns:r="http://schemas.openxmlformats.org/officeDocument/2006/relationships" ref="K23" r:id="rId10"/>
    <hyperlink xmlns:r="http://schemas.openxmlformats.org/officeDocument/2006/relationships" ref="K24" r:id="rId11"/>
    <hyperlink xmlns:r="http://schemas.openxmlformats.org/officeDocument/2006/relationships" ref="K26" r:id="rId12"/>
    <hyperlink xmlns:r="http://schemas.openxmlformats.org/officeDocument/2006/relationships" ref="K27" r:id="rId13"/>
    <hyperlink xmlns:r="http://schemas.openxmlformats.org/officeDocument/2006/relationships" ref="K28" r:id="rId14"/>
    <hyperlink xmlns:r="http://schemas.openxmlformats.org/officeDocument/2006/relationships" ref="K29" r:id="rId15"/>
    <hyperlink xmlns:r="http://schemas.openxmlformats.org/officeDocument/2006/relationships" ref="K30" r:id="rId16"/>
    <hyperlink xmlns:r="http://schemas.openxmlformats.org/officeDocument/2006/relationships" ref="K31" r:id="rId17"/>
    <hyperlink xmlns:r="http://schemas.openxmlformats.org/officeDocument/2006/relationships" ref="K32" r:id="rId18"/>
    <hyperlink xmlns:r="http://schemas.openxmlformats.org/officeDocument/2006/relationships" ref="K33" r:id="rId19"/>
    <hyperlink xmlns:r="http://schemas.openxmlformats.org/officeDocument/2006/relationships" ref="K34" r:id="rId20"/>
    <hyperlink xmlns:r="http://schemas.openxmlformats.org/officeDocument/2006/relationships" ref="K35" r:id="rId21"/>
  </hyperlink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tabSelected="1" workbookViewId="0">
      <pane ySplit="3" topLeftCell="A4" activePane="bottomLeft" state="frozen"/>
      <selection pane="bottomLeft" activeCell="I14" sqref="I14"/>
    </sheetView>
  </sheetViews>
  <sheetFormatPr baseColWidth="8" defaultRowHeight="14.4"/>
  <cols>
    <col width="26" customWidth="1" style="32" min="1" max="1"/>
    <col width="13" customWidth="1" style="32" min="2" max="2"/>
    <col width="14" customWidth="1" style="32" min="3" max="3"/>
    <col width="6" customWidth="1" style="32" min="4" max="4"/>
    <col width="30" customWidth="1" style="32" min="5" max="5"/>
    <col width="13" customWidth="1" style="32" min="6" max="9"/>
    <col width="12" customWidth="1" style="32" min="10" max="10"/>
    <col width="14" customWidth="1" style="32" min="11" max="11"/>
    <col width="26" customWidth="1" style="32" min="12" max="12"/>
    <col width="16" customWidth="1" style="32" min="13" max="13"/>
    <col width="15" customWidth="1" style="32" min="14" max="14"/>
    <col width="17" customWidth="1" style="32" min="15" max="15"/>
    <col width="12" customWidth="1" style="32" min="16" max="16"/>
    <col width="13" customWidth="1" style="32" min="17" max="17"/>
    <col width="30" customWidth="1" style="32" min="18" max="18"/>
    <col width="30" customWidth="1" style="32" min="19" max="19"/>
  </cols>
  <sheetData>
    <row r="1" ht="22.05" customHeight="1" s="32">
      <c r="A1" s="16" t="inlineStr">
        <is>
          <t>2. ALTA PRIORIDADE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>
      <c r="A2" s="2" t="inlineStr">
        <is>
          <t>Alto impacto com baixo custo. Logo após o essencial.</t>
        </is>
      </c>
    </row>
    <row r="3" ht="27.6" customHeight="1" s="32">
      <c r="A3" s="3" t="inlineStr">
        <is>
          <t>Item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Qtd</t>
        </is>
      </c>
      <c r="E3" s="3" t="inlineStr">
        <is>
          <t>Especificação mínima</t>
        </is>
      </c>
      <c r="F3" s="3" t="inlineStr">
        <is>
          <t>Qualidade</t>
        </is>
      </c>
      <c r="G3" s="3" t="inlineStr">
        <is>
          <t>Preço unit.
estimado</t>
        </is>
      </c>
      <c r="H3" s="3" t="inlineStr">
        <is>
          <t>Total
estimado</t>
        </is>
      </c>
      <c r="I3" s="3" t="inlineStr">
        <is>
          <t>Sua marcação
(Sim/Pretend./Não)</t>
        </is>
      </c>
      <c r="J3" s="3" t="inlineStr">
        <is>
          <t>Valor real
pago R$</t>
        </is>
      </c>
      <c r="K3" s="3" t="inlineStr">
        <is>
          <t>Link</t>
        </is>
      </c>
      <c r="L3" s="3" t="inlineStr">
        <is>
          <t>Observação</t>
        </is>
      </c>
      <c r="M3" s="43" t="inlineStr">
        <is>
          <t>Status de
execução</t>
        </is>
      </c>
      <c r="N3" s="43" t="inlineStr">
        <is>
          <t>Decisão
CAPEX</t>
        </is>
      </c>
      <c r="O3" s="43" t="inlineStr">
        <is>
          <t>Classe
go-live</t>
        </is>
      </c>
      <c r="P3" s="43" t="inlineStr">
        <is>
          <t>Data
limite</t>
        </is>
      </c>
      <c r="Q3" s="43" t="inlineStr">
        <is>
          <t>Responsável</t>
        </is>
      </c>
      <c r="R3" s="43" t="inlineStr">
        <is>
          <t>Risco se adiar</t>
        </is>
      </c>
      <c r="S3" s="43" t="inlineStr">
        <is>
          <t>Próxima ação</t>
        </is>
      </c>
    </row>
    <row r="4">
      <c r="A4" s="4" t="inlineStr">
        <is>
          <t>Cortina blackout neutra</t>
        </is>
      </c>
      <c r="B4" s="4" t="inlineStr">
        <is>
          <t>Compra</t>
        </is>
      </c>
      <c r="C4" s="4" t="inlineStr">
        <is>
          <t>Sala/Quarto</t>
        </is>
      </c>
      <c r="D4" s="10" t="n">
        <v>2</v>
      </c>
      <c r="E4" s="11" t="inlineStr">
        <is>
          <t>Corta-luz, tecido grosso</t>
        </is>
      </c>
      <c r="F4" s="10" t="inlineStr">
        <is>
          <t>Interm.</t>
        </is>
      </c>
      <c r="G4" s="5" t="n">
        <v>130</v>
      </c>
      <c r="H4" s="5">
        <f>D4*G4</f>
        <v/>
      </c>
      <c r="I4" s="12" t="inlineStr">
        <is>
          <t>Não</t>
        </is>
      </c>
      <c r="J4" s="13" t="n"/>
      <c r="K4" s="14" t="inlineStr">
        <is>
          <t>ML</t>
        </is>
      </c>
      <c r="L4" s="4" t="inlineStr">
        <is>
          <t>Persiana já está suficiente vou aguardar as sujestões dos proximos hóspedes. Posso solicitar opinião quanto a isso de forma proativa</t>
        </is>
      </c>
      <c r="M4" s="44" t="inlineStr">
        <is>
          <t>Pendente</t>
        </is>
      </c>
      <c r="N4" s="44" t="inlineStr">
        <is>
          <t>Avaliar</t>
        </is>
      </c>
      <c r="O4" s="49" t="inlineStr">
        <is>
          <t>Pós-go-live 30d (condic.)</t>
        </is>
      </c>
      <c r="P4" s="44" t="inlineStr">
        <is>
          <t>até 31/07</t>
        </is>
      </c>
      <c r="Q4" s="44" t="inlineStr">
        <is>
          <t>Gestor</t>
        </is>
      </c>
      <c r="R4" s="46" t="inlineStr">
        <is>
          <t>Sono ruim = nota; depende de já haver persiana</t>
        </is>
      </c>
      <c r="S4" s="46" t="inlineStr">
        <is>
          <t>Confirmar escurecimento atual; senão vira pré-go-live</t>
        </is>
      </c>
    </row>
    <row r="5" ht="28.8" customHeight="1" s="32">
      <c r="A5" s="4" t="inlineStr">
        <is>
          <t>Decor / styling</t>
        </is>
      </c>
      <c r="B5" s="4" t="inlineStr">
        <is>
          <t>Compra</t>
        </is>
      </c>
      <c r="C5" s="4" t="inlineStr">
        <is>
          <t>Decoração</t>
        </is>
      </c>
      <c r="D5" s="10" t="n">
        <v>1</v>
      </c>
      <c r="E5" s="11" t="inlineStr">
        <is>
          <t>Quadros, plantas, itens p/ prateleiras vazias</t>
        </is>
      </c>
      <c r="F5" s="10" t="inlineStr">
        <is>
          <t>Barato</t>
        </is>
      </c>
      <c r="G5" s="5" t="n">
        <v>450</v>
      </c>
      <c r="H5" s="5">
        <f>D5*G5</f>
        <v/>
      </c>
      <c r="I5" s="12" t="inlineStr">
        <is>
          <t>Pretendido</t>
        </is>
      </c>
      <c r="J5" s="13" t="n"/>
      <c r="K5" s="14" t="inlineStr">
        <is>
          <t>ML</t>
        </is>
      </c>
      <c r="L5" s="4" t="inlineStr">
        <is>
          <t>Foto de capa</t>
        </is>
      </c>
      <c r="M5" s="44" t="inlineStr">
        <is>
          <t>Pendente</t>
        </is>
      </c>
      <c r="N5" s="44" t="inlineStr">
        <is>
          <t>Comprar agora</t>
        </is>
      </c>
      <c r="O5" s="45" t="inlineStr">
        <is>
          <t>Pré-go-live</t>
        </is>
      </c>
      <c r="P5" s="44" t="inlineStr">
        <is>
          <t>até 09/07</t>
        </is>
      </c>
      <c r="Q5" s="44" t="inlineStr">
        <is>
          <t>Gestor/Talita</t>
        </is>
      </c>
      <c r="R5" s="46" t="inlineStr">
        <is>
          <t>Foto de capa fraca = menos cliques</t>
        </is>
      </c>
      <c r="S5" s="46" t="inlineStr">
        <is>
          <t>Styling leve antes das fotos</t>
        </is>
      </c>
    </row>
    <row r="6">
      <c r="A6" s="4" t="inlineStr">
        <is>
          <t>Espelho de corpo inteiro</t>
        </is>
      </c>
      <c r="B6" s="4" t="inlineStr">
        <is>
          <t>Compra</t>
        </is>
      </c>
      <c r="C6" s="4" t="inlineStr">
        <is>
          <t>Decoração</t>
        </is>
      </c>
      <c r="D6" s="10" t="n">
        <v>1</v>
      </c>
      <c r="E6" s="11" t="inlineStr">
        <is>
          <t>-</t>
        </is>
      </c>
      <c r="F6" s="10" t="inlineStr">
        <is>
          <t>Barato</t>
        </is>
      </c>
      <c r="G6" s="5" t="n">
        <v>225</v>
      </c>
      <c r="H6" s="5">
        <f>D6*G6</f>
        <v/>
      </c>
      <c r="I6" s="12" t="inlineStr">
        <is>
          <t>Sim</t>
        </is>
      </c>
      <c r="J6" s="13" t="n">
        <v>0</v>
      </c>
      <c r="K6" s="14" t="n"/>
      <c r="L6" s="4" t="inlineStr">
        <is>
          <t>Já tinha</t>
        </is>
      </c>
      <c r="M6" s="48" t="inlineStr">
        <is>
          <t>Comprado ✅</t>
        </is>
      </c>
      <c r="N6" s="44" t="inlineStr">
        <is>
          <t>Já comprado</t>
        </is>
      </c>
      <c r="O6" s="45" t="inlineStr">
        <is>
          <t>Pré-go-live</t>
        </is>
      </c>
      <c r="P6" s="44" t="inlineStr">
        <is>
          <t>—</t>
        </is>
      </c>
      <c r="Q6" s="44" t="inlineStr">
        <is>
          <t>—</t>
        </is>
      </c>
      <c r="R6" s="46" t="inlineStr">
        <is>
          <t>—</t>
        </is>
      </c>
      <c r="S6" s="46" t="inlineStr">
        <is>
          <t>—</t>
        </is>
      </c>
    </row>
    <row r="7">
      <c r="A7" s="4" t="inlineStr">
        <is>
          <t>Tapete de sala</t>
        </is>
      </c>
      <c r="B7" s="4" t="inlineStr">
        <is>
          <t>Compra</t>
        </is>
      </c>
      <c r="C7" s="4" t="inlineStr">
        <is>
          <t>Sala</t>
        </is>
      </c>
      <c r="D7" s="10" t="n">
        <v>1</v>
      </c>
      <c r="E7" s="11" t="inlineStr">
        <is>
          <t>-</t>
        </is>
      </c>
      <c r="F7" s="10" t="inlineStr">
        <is>
          <t>Barato</t>
        </is>
      </c>
      <c r="G7" s="5" t="n">
        <v>165</v>
      </c>
      <c r="H7" s="5">
        <f>D7*G7</f>
        <v/>
      </c>
      <c r="I7" s="12" t="inlineStr">
        <is>
          <t>Não</t>
        </is>
      </c>
      <c r="J7" s="13" t="n"/>
      <c r="K7" s="14" t="inlineStr">
        <is>
          <t>ML</t>
        </is>
      </c>
      <c r="L7" s="4" t="inlineStr">
        <is>
          <t>Aconchego</t>
        </is>
      </c>
      <c r="M7" s="44" t="inlineStr">
        <is>
          <t>Pendente</t>
        </is>
      </c>
      <c r="N7" s="44" t="inlineStr">
        <is>
          <t>Não comprar agora</t>
        </is>
      </c>
      <c r="O7" s="50" t="inlineStr">
        <is>
          <t>Pós-ROI 60d</t>
        </is>
      </c>
      <c r="P7" s="44" t="inlineStr">
        <is>
          <t>após ROI</t>
        </is>
      </c>
      <c r="Q7" s="44" t="inlineStr">
        <is>
          <t>Gestor</t>
        </is>
      </c>
      <c r="R7" s="46" t="inlineStr">
        <is>
          <t>Estético</t>
        </is>
      </c>
      <c r="S7" s="46" t="inlineStr">
        <is>
          <t>Depois</t>
        </is>
      </c>
    </row>
    <row r="8">
      <c r="A8" s="4" t="inlineStr">
        <is>
          <t>Kit boas-vindas (recorrente)</t>
        </is>
      </c>
      <c r="B8" s="4" t="inlineStr">
        <is>
          <t>Compra</t>
        </is>
      </c>
      <c r="C8" s="4" t="inlineStr">
        <is>
          <t>Hospitalidade</t>
        </is>
      </c>
      <c r="D8" s="10" t="n">
        <v>1</v>
      </c>
      <c r="E8" s="11" t="inlineStr">
        <is>
          <t>Água, café, bilhete</t>
        </is>
      </c>
      <c r="F8" s="10" t="inlineStr">
        <is>
          <t>Barato</t>
        </is>
      </c>
      <c r="G8" s="5" t="n">
        <v>75</v>
      </c>
      <c r="H8" s="5">
        <f>D8*G8</f>
        <v/>
      </c>
      <c r="I8" s="12" t="inlineStr">
        <is>
          <t>Pretendido</t>
        </is>
      </c>
      <c r="J8" s="13" t="n"/>
      <c r="K8" s="10" t="n"/>
      <c r="L8" s="4" t="inlineStr">
        <is>
          <t>Vira avaliação 5★</t>
        </is>
      </c>
      <c r="M8" s="44" t="inlineStr">
        <is>
          <t>Pendente</t>
        </is>
      </c>
      <c r="N8" s="44" t="inlineStr">
        <is>
          <t>Comprar agora</t>
        </is>
      </c>
      <c r="O8" s="45" t="inlineStr">
        <is>
          <t>Pré-go-live</t>
        </is>
      </c>
      <c r="P8" s="44" t="inlineStr">
        <is>
          <t>1ª reserva</t>
        </is>
      </c>
      <c r="Q8" s="44" t="inlineStr">
        <is>
          <t>Gestor/Talita</t>
        </is>
      </c>
      <c r="R8" s="46" t="inlineStr">
        <is>
          <t>Perde 5★ fácil nos 1ºs hóspedes</t>
        </is>
      </c>
      <c r="S8" s="46" t="inlineStr">
        <is>
          <t>Ter para os primeiros hóspedes</t>
        </is>
      </c>
    </row>
    <row r="9">
      <c r="A9" s="6" t="inlineStr">
        <is>
          <t>TOTAL</t>
        </is>
      </c>
      <c r="B9" s="37" t="n"/>
      <c r="C9" s="37" t="n"/>
      <c r="D9" s="37" t="n"/>
      <c r="E9" s="37" t="n"/>
      <c r="F9" s="37" t="n"/>
      <c r="G9" s="37" t="n"/>
      <c r="H9" s="7">
        <f>SUM(H4:H8)</f>
        <v/>
      </c>
      <c r="I9" s="37" t="n"/>
      <c r="J9" s="7">
        <f>SUM(J4:J8)</f>
        <v/>
      </c>
      <c r="K9" s="37" t="n"/>
      <c r="L9" s="37" t="n"/>
    </row>
  </sheetData>
  <dataValidations count="1">
    <dataValidation sqref="I4:I8" showDropDown="0" showInputMessage="0" showErrorMessage="0" allowBlank="1" type="list">
      <formula1>"Sim,Não,Parcial"</formula1>
    </dataValidation>
  </dataValidation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6" customWidth="1" style="32" min="1" max="1"/>
    <col width="13" customWidth="1" style="32" min="2" max="2"/>
    <col width="14" customWidth="1" style="32" min="3" max="3"/>
    <col width="6" customWidth="1" style="32" min="4" max="4"/>
    <col width="30" customWidth="1" style="32" min="5" max="5"/>
    <col width="13" customWidth="1" style="32" min="6" max="9"/>
    <col width="12" customWidth="1" style="32" min="10" max="10"/>
    <col width="14" customWidth="1" style="32" min="11" max="11"/>
    <col width="26" customWidth="1" style="32" min="12" max="12"/>
  </cols>
  <sheetData>
    <row r="1" ht="22.05" customHeight="1" s="32">
      <c r="A1" s="18" t="inlineStr">
        <is>
          <t>3. MÉDIA PRIORIDADE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>
      <c r="A2" s="2" t="inlineStr">
        <is>
          <t>Conforto e durabilidade. Pode entrar nas primeiras semanas.</t>
        </is>
      </c>
    </row>
    <row r="3" ht="27.6" customHeight="1" s="32">
      <c r="A3" s="3" t="inlineStr">
        <is>
          <t>Item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Qtd</t>
        </is>
      </c>
      <c r="E3" s="3" t="inlineStr">
        <is>
          <t>Especificação mínima</t>
        </is>
      </c>
      <c r="F3" s="3" t="inlineStr">
        <is>
          <t>Qualidade</t>
        </is>
      </c>
      <c r="G3" s="3" t="inlineStr">
        <is>
          <t>Preço unit.
estimado</t>
        </is>
      </c>
      <c r="H3" s="3" t="inlineStr">
        <is>
          <t>Total
estimado</t>
        </is>
      </c>
      <c r="I3" s="3" t="inlineStr">
        <is>
          <t>Comprado/
Executado?</t>
        </is>
      </c>
      <c r="J3" s="3" t="inlineStr">
        <is>
          <t>Valor real
pago R$</t>
        </is>
      </c>
      <c r="K3" s="3" t="inlineStr">
        <is>
          <t>Link</t>
        </is>
      </c>
      <c r="L3" s="3" t="inlineStr">
        <is>
          <t>Observação</t>
        </is>
      </c>
    </row>
    <row r="4">
      <c r="A4" s="4" t="inlineStr">
        <is>
          <t>Cadeira de trabalho</t>
        </is>
      </c>
      <c r="B4" s="4" t="inlineStr">
        <is>
          <t>Compra</t>
        </is>
      </c>
      <c r="C4" s="4" t="inlineStr">
        <is>
          <t>Sala/Trabalho</t>
        </is>
      </c>
      <c r="D4" s="10" t="n">
        <v>1</v>
      </c>
      <c r="E4" s="11" t="inlineStr">
        <is>
          <t>Confortável p/ home office</t>
        </is>
      </c>
      <c r="F4" s="10" t="inlineStr">
        <is>
          <t>Interm.</t>
        </is>
      </c>
      <c r="G4" s="5" t="n">
        <v>300</v>
      </c>
      <c r="H4" s="5">
        <f>D4*G4</f>
        <v/>
      </c>
      <c r="I4" s="12" t="n"/>
      <c r="J4" s="13" t="n"/>
      <c r="K4" s="14" t="inlineStr">
        <is>
          <t>ML</t>
        </is>
      </c>
      <c r="L4" s="4" t="inlineStr">
        <is>
          <t>Hóspede longo</t>
        </is>
      </c>
    </row>
    <row r="5">
      <c r="A5" s="4" t="inlineStr">
        <is>
          <t>Capa de sofá / repaginar sofá</t>
        </is>
      </c>
      <c r="B5" s="4" t="inlineStr">
        <is>
          <t>Compra</t>
        </is>
      </c>
      <c r="C5" s="4" t="inlineStr">
        <is>
          <t>Sala</t>
        </is>
      </c>
      <c r="D5" s="10" t="n">
        <v>1</v>
      </c>
      <c r="E5" s="11" t="inlineStr">
        <is>
          <t>Cobrir desgaste do sofá bege</t>
        </is>
      </c>
      <c r="F5" s="10" t="inlineStr">
        <is>
          <t>Barato</t>
        </is>
      </c>
      <c r="G5" s="5" t="n">
        <v>190</v>
      </c>
      <c r="H5" s="5">
        <f>D5*G5</f>
        <v/>
      </c>
      <c r="I5" s="12" t="n"/>
      <c r="J5" s="13" t="n"/>
      <c r="K5" s="14" t="inlineStr">
        <is>
          <t>ML</t>
        </is>
      </c>
      <c r="L5" s="4" t="inlineStr">
        <is>
          <t>Conforto + foto</t>
        </is>
      </c>
    </row>
    <row r="6">
      <c r="A6" s="4" t="inlineStr">
        <is>
          <t>Cuba/torneira nova (se datada)</t>
        </is>
      </c>
      <c r="B6" s="4" t="inlineStr">
        <is>
          <t>Compra</t>
        </is>
      </c>
      <c r="C6" s="4" t="inlineStr">
        <is>
          <t>Banho/Cozinha</t>
        </is>
      </c>
      <c r="D6" s="10" t="n">
        <v>1</v>
      </c>
      <c r="E6" s="11" t="inlineStr">
        <is>
          <t>Modelo simples</t>
        </is>
      </c>
      <c r="F6" s="10" t="inlineStr">
        <is>
          <t>Interm.</t>
        </is>
      </c>
      <c r="G6" s="5" t="n">
        <v>325</v>
      </c>
      <c r="H6" s="5">
        <f>D6*G6</f>
        <v/>
      </c>
      <c r="I6" s="12" t="n"/>
      <c r="J6" s="13" t="n"/>
      <c r="K6" s="10" t="n"/>
      <c r="L6" s="4" t="inlineStr">
        <is>
          <t>Avaliar necessidade</t>
        </is>
      </c>
    </row>
    <row r="7">
      <c r="A7" s="4" t="inlineStr">
        <is>
          <t>Pequenos reparos de móveis</t>
        </is>
      </c>
      <c r="B7" s="4" t="inlineStr">
        <is>
          <t>Serviço</t>
        </is>
      </c>
      <c r="C7" s="4" t="inlineStr">
        <is>
          <t>Estrutural</t>
        </is>
      </c>
      <c r="D7" s="10" t="n">
        <v>1</v>
      </c>
      <c r="E7" s="11" t="inlineStr">
        <is>
          <t>Puxadores, dobradiças, niveladores</t>
        </is>
      </c>
      <c r="F7" s="10" t="inlineStr">
        <is>
          <t>-</t>
        </is>
      </c>
      <c r="G7" s="5" t="n">
        <v>175</v>
      </c>
      <c r="H7" s="5">
        <f>D7*G7</f>
        <v/>
      </c>
      <c r="I7" s="12" t="n"/>
      <c r="J7" s="13" t="n"/>
      <c r="K7" s="10" t="n"/>
      <c r="L7" s="4" t="inlineStr">
        <is>
          <t>Evita cara de usado</t>
        </is>
      </c>
    </row>
    <row r="8">
      <c r="A8" s="6" t="inlineStr">
        <is>
          <t>TOTAL</t>
        </is>
      </c>
      <c r="B8" s="37" t="n"/>
      <c r="C8" s="37" t="n"/>
      <c r="D8" s="37" t="n"/>
      <c r="E8" s="37" t="n"/>
      <c r="F8" s="37" t="n"/>
      <c r="G8" s="37" t="n"/>
      <c r="H8" s="7">
        <f>SUM(H4:H7)</f>
        <v/>
      </c>
      <c r="I8" s="37" t="n"/>
      <c r="J8" s="7">
        <f>SUM(J4:J7)</f>
        <v/>
      </c>
      <c r="K8" s="37" t="n"/>
      <c r="L8" s="37" t="n"/>
    </row>
  </sheetData>
  <dataValidations count="1">
    <dataValidation sqref="I4:I7" showDropDown="0" showInputMessage="0" showErrorMessage="0" allowBlank="1" type="list">
      <formula1>"Sim,Não,Parcial"</formula1>
    </dataValidation>
  </dataValidations>
  <hyperlinks>
    <hyperlink xmlns:r="http://schemas.openxmlformats.org/officeDocument/2006/relationships" ref="K4" r:id="rId1"/>
    <hyperlink xmlns:r="http://schemas.openxmlformats.org/officeDocument/2006/relationships" ref="K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6" customWidth="1" style="32" min="1" max="1"/>
    <col width="13" customWidth="1" style="32" min="2" max="2"/>
    <col width="14" customWidth="1" style="32" min="3" max="3"/>
    <col width="6" customWidth="1" style="32" min="4" max="4"/>
    <col width="30" customWidth="1" style="32" min="5" max="5"/>
    <col width="13" customWidth="1" style="32" min="6" max="9"/>
    <col width="12" customWidth="1" style="32" min="10" max="10"/>
    <col width="14" customWidth="1" style="32" min="11" max="11"/>
    <col width="26" customWidth="1" style="32" min="12" max="12"/>
  </cols>
  <sheetData>
    <row r="1" ht="22.05" customHeight="1" s="32">
      <c r="A1" s="20" t="inlineStr">
        <is>
          <t>4. DIFERENCIAÇÃO (2ª ETAPA)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2">
      <c r="A2" s="2" t="inlineStr">
        <is>
          <t>Sobe diária e nota. Pago com o caixa dos primeiros meses (split: ago/set).</t>
        </is>
      </c>
    </row>
    <row r="3" ht="27.6" customHeight="1" s="32">
      <c r="A3" s="3" t="inlineStr">
        <is>
          <t>Item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Qtd</t>
        </is>
      </c>
      <c r="E3" s="3" t="inlineStr">
        <is>
          <t>Especificação mínima</t>
        </is>
      </c>
      <c r="F3" s="3" t="inlineStr">
        <is>
          <t>Qualidade</t>
        </is>
      </c>
      <c r="G3" s="3" t="inlineStr">
        <is>
          <t>Preço unit.
estimado</t>
        </is>
      </c>
      <c r="H3" s="3" t="inlineStr">
        <is>
          <t>Total
estimado</t>
        </is>
      </c>
      <c r="I3" s="3" t="inlineStr">
        <is>
          <t>Comprado/
Executado?</t>
        </is>
      </c>
      <c r="J3" s="3" t="inlineStr">
        <is>
          <t>Valor real
pago R$</t>
        </is>
      </c>
      <c r="K3" s="3" t="inlineStr">
        <is>
          <t>Link</t>
        </is>
      </c>
      <c r="L3" s="3" t="inlineStr">
        <is>
          <t>Observação</t>
        </is>
      </c>
    </row>
    <row r="4" ht="28.8" customHeight="1" s="32">
      <c r="A4" s="4" t="inlineStr">
        <is>
          <t>Ar-condicionado split 9000 BTUs inverter + instalação</t>
        </is>
      </c>
      <c r="B4" s="4" t="inlineStr">
        <is>
          <t>Compra</t>
        </is>
      </c>
      <c r="C4" s="4" t="inlineStr">
        <is>
          <t>Conforto</t>
        </is>
      </c>
      <c r="D4" s="10" t="n">
        <v>1</v>
      </c>
      <c r="E4" s="11" t="inlineStr">
        <is>
          <t>Inverter, frio, marca confiável (LG/Midea/Electrolux)</t>
        </is>
      </c>
      <c r="F4" s="10" t="inlineStr">
        <is>
          <t>Melhor</t>
        </is>
      </c>
      <c r="G4" s="5" t="n">
        <v>2500</v>
      </c>
      <c r="H4" s="5">
        <f>D4*G4</f>
        <v/>
      </c>
      <c r="I4" s="12" t="n"/>
      <c r="J4" s="13" t="n"/>
      <c r="K4" s="14" t="inlineStr">
        <is>
          <t>ML</t>
        </is>
      </c>
      <c r="L4" s="4" t="inlineStr">
        <is>
          <t>AGENDAR ago/set (antes do calor); pago com caixa</t>
        </is>
      </c>
    </row>
    <row r="5">
      <c r="A5" s="4" t="inlineStr">
        <is>
          <t>Enxoval/decor extra (padrão hotel)</t>
        </is>
      </c>
      <c r="B5" s="4" t="inlineStr">
        <is>
          <t>Compra</t>
        </is>
      </c>
      <c r="C5" s="4" t="inlineStr">
        <is>
          <t>Quarto</t>
        </is>
      </c>
      <c r="D5" s="10" t="n">
        <v>1</v>
      </c>
      <c r="E5" s="11" t="inlineStr">
        <is>
          <t>Jogos a mais, mantas</t>
        </is>
      </c>
      <c r="F5" s="10" t="inlineStr">
        <is>
          <t>Interm.</t>
        </is>
      </c>
      <c r="G5" s="5" t="n">
        <v>350</v>
      </c>
      <c r="H5" s="5">
        <f>D5*G5</f>
        <v/>
      </c>
      <c r="I5" s="12" t="n"/>
      <c r="J5" s="13" t="n"/>
      <c r="K5" s="10" t="n"/>
      <c r="L5" s="4" t="inlineStr">
        <is>
          <t>Percepção premium</t>
        </is>
      </c>
    </row>
    <row r="6">
      <c r="A6" s="6" t="inlineStr">
        <is>
          <t>TOTAL</t>
        </is>
      </c>
      <c r="B6" s="37" t="n"/>
      <c r="C6" s="37" t="n"/>
      <c r="D6" s="37" t="n"/>
      <c r="E6" s="37" t="n"/>
      <c r="F6" s="37" t="n"/>
      <c r="G6" s="37" t="n"/>
      <c r="H6" s="7">
        <f>SUM(H4:H5)</f>
        <v/>
      </c>
      <c r="I6" s="37" t="n"/>
      <c r="J6" s="7">
        <f>SUM(J4:J5)</f>
        <v/>
      </c>
      <c r="K6" s="37" t="n"/>
      <c r="L6" s="37" t="n"/>
    </row>
  </sheetData>
  <dataValidations count="1">
    <dataValidation sqref="I4:I5" showDropDown="0" showInputMessage="0" showErrorMessage="0" allowBlank="1" type="list">
      <formula1>"Sim,Não,Parcial"</formula1>
    </dataValidation>
  </dataValidations>
  <hyperlinks>
    <hyperlink xmlns:r="http://schemas.openxmlformats.org/officeDocument/2006/relationships" ref="K4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6" customWidth="1" style="32" min="1" max="1"/>
    <col width="13" customWidth="1" style="32" min="2" max="2"/>
    <col width="14" customWidth="1" style="32" min="3" max="3"/>
    <col width="6" customWidth="1" style="32" min="4" max="4"/>
    <col width="30" customWidth="1" style="32" min="5" max="5"/>
    <col width="13" customWidth="1" style="32" min="6" max="9"/>
    <col width="12" customWidth="1" style="32" min="10" max="10"/>
    <col width="14" customWidth="1" style="32" min="11" max="11"/>
    <col width="26" customWidth="1" style="32" min="12" max="12"/>
  </cols>
  <sheetData>
    <row r="1" ht="22.05" customHeight="1" s="32">
      <c r="A1" s="22" t="inlineStr">
        <is>
          <t>5. PODE ESPERAR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</row>
    <row r="2">
      <c r="A2" s="2" t="inlineStr">
        <is>
          <t>Registro do que NÃO priorizar agora (e por quê).</t>
        </is>
      </c>
    </row>
    <row r="3" ht="27.6" customHeight="1" s="32">
      <c r="A3" s="3" t="inlineStr">
        <is>
          <t>Item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Qtd</t>
        </is>
      </c>
      <c r="E3" s="3" t="inlineStr">
        <is>
          <t>Especificação mínima</t>
        </is>
      </c>
      <c r="F3" s="3" t="inlineStr">
        <is>
          <t>Qualidade</t>
        </is>
      </c>
      <c r="G3" s="3" t="inlineStr">
        <is>
          <t>Preço unit.
estimado</t>
        </is>
      </c>
      <c r="H3" s="3" t="inlineStr">
        <is>
          <t>Total
estimado</t>
        </is>
      </c>
      <c r="I3" s="3" t="inlineStr">
        <is>
          <t>Comprado/
Executado?</t>
        </is>
      </c>
      <c r="J3" s="3" t="inlineStr">
        <is>
          <t>Valor real
pago R$</t>
        </is>
      </c>
      <c r="K3" s="3" t="inlineStr">
        <is>
          <t>Link</t>
        </is>
      </c>
      <c r="L3" s="3" t="inlineStr">
        <is>
          <t>Observação</t>
        </is>
      </c>
    </row>
    <row r="4">
      <c r="A4" s="4" t="inlineStr">
        <is>
          <t>Troca de piso</t>
        </is>
      </c>
      <c r="B4" s="4" t="inlineStr">
        <is>
          <t>Serviço</t>
        </is>
      </c>
      <c r="C4" s="4" t="inlineStr">
        <is>
          <t>Estrutural</t>
        </is>
      </c>
      <c r="D4" s="10" t="n">
        <v>1</v>
      </c>
      <c r="E4" s="11" t="inlineStr">
        <is>
          <t>Só se realmente ruim</t>
        </is>
      </c>
      <c r="F4" s="10" t="inlineStr">
        <is>
          <t>-</t>
        </is>
      </c>
      <c r="G4" s="5" t="n">
        <v>0</v>
      </c>
      <c r="H4" s="5">
        <f>D4*G4</f>
        <v/>
      </c>
      <c r="I4" s="12" t="n"/>
      <c r="J4" s="13" t="n"/>
      <c r="K4" s="10" t="n"/>
      <c r="L4" s="4" t="inlineStr">
        <is>
          <t>ROI baixo agora — NÃO VALE</t>
        </is>
      </c>
    </row>
    <row r="5">
      <c r="A5" s="4" t="inlineStr">
        <is>
          <t>Máquina de lavar própria</t>
        </is>
      </c>
      <c r="B5" s="4" t="inlineStr">
        <is>
          <t>Compra</t>
        </is>
      </c>
      <c r="C5" s="4" t="inlineStr">
        <is>
          <t>Lavanderia</t>
        </is>
      </c>
      <c r="D5" s="10" t="n">
        <v>1</v>
      </c>
      <c r="E5" s="11" t="inlineStr">
        <is>
          <t>-</t>
        </is>
      </c>
      <c r="F5" s="10" t="inlineStr">
        <is>
          <t>-</t>
        </is>
      </c>
      <c r="G5" s="5" t="n">
        <v>0</v>
      </c>
      <c r="H5" s="5">
        <f>D5*G5</f>
        <v/>
      </c>
      <c r="I5" s="12" t="n"/>
      <c r="J5" s="13" t="n"/>
      <c r="K5" s="10" t="n"/>
      <c r="L5" s="4" t="inlineStr">
        <is>
          <t>Condomínio tem lavanderia — NÃO priorizar</t>
        </is>
      </c>
    </row>
    <row r="6">
      <c r="A6" s="4" t="inlineStr">
        <is>
          <t>Móveis grandes novos</t>
        </is>
      </c>
      <c r="B6" s="4" t="inlineStr">
        <is>
          <t>Compra</t>
        </is>
      </c>
      <c r="C6" s="4" t="inlineStr">
        <is>
          <t>Mobília</t>
        </is>
      </c>
      <c r="D6" s="10" t="n">
        <v>1</v>
      </c>
      <c r="E6" s="11" t="inlineStr">
        <is>
          <t>-</t>
        </is>
      </c>
      <c r="F6" s="10" t="inlineStr">
        <is>
          <t>-</t>
        </is>
      </c>
      <c r="G6" s="5" t="n">
        <v>0</v>
      </c>
      <c r="H6" s="5">
        <f>D6*G6</f>
        <v/>
      </c>
      <c r="I6" s="12" t="n"/>
      <c r="J6" s="13" t="n"/>
      <c r="K6" s="10" t="n"/>
      <c r="L6" s="4" t="inlineStr">
        <is>
          <t>PODE ESPERAR (após 1ªs receitas)</t>
        </is>
      </c>
    </row>
    <row r="7">
      <c r="A7" s="4" t="inlineStr">
        <is>
          <t>Bancada de pedra / reforma pesada</t>
        </is>
      </c>
      <c r="B7" s="4" t="inlineStr">
        <is>
          <t>Serviço</t>
        </is>
      </c>
      <c r="C7" s="4" t="inlineStr">
        <is>
          <t>Estrutural</t>
        </is>
      </c>
      <c r="D7" s="10" t="n">
        <v>1</v>
      </c>
      <c r="E7" s="11" t="inlineStr">
        <is>
          <t>-</t>
        </is>
      </c>
      <c r="F7" s="10" t="inlineStr">
        <is>
          <t>-</t>
        </is>
      </c>
      <c r="G7" s="5" t="n">
        <v>0</v>
      </c>
      <c r="H7" s="5">
        <f>D7*G7</f>
        <v/>
      </c>
      <c r="I7" s="12" t="n"/>
      <c r="J7" s="13" t="n"/>
      <c r="K7" s="10" t="n"/>
      <c r="L7" s="4" t="inlineStr">
        <is>
          <t>NÃO VALE AGORA</t>
        </is>
      </c>
    </row>
    <row r="8">
      <c r="A8" s="6" t="inlineStr">
        <is>
          <t>TOTAL</t>
        </is>
      </c>
      <c r="B8" s="37" t="n"/>
      <c r="C8" s="37" t="n"/>
      <c r="D8" s="37" t="n"/>
      <c r="E8" s="37" t="n"/>
      <c r="F8" s="37" t="n"/>
      <c r="G8" s="37" t="n"/>
      <c r="H8" s="7">
        <f>SUM(H4:H7)</f>
        <v/>
      </c>
      <c r="I8" s="37" t="n"/>
      <c r="J8" s="7">
        <f>SUM(J4:J7)</f>
        <v/>
      </c>
      <c r="K8" s="37" t="n"/>
      <c r="L8" s="37" t="n"/>
    </row>
  </sheetData>
  <dataValidations count="1">
    <dataValidation sqref="I4:I7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2026-06-27T02:31:56Z</dcterms:created>
  <dcterms:modified xsi:type="dcterms:W3CDTF">2026-06-28T01:55:08Z</dcterms:modified>
  <cp:lastModifiedBy>Purush Lisboa</cp:lastModifiedBy>
</cp:coreProperties>
</file>