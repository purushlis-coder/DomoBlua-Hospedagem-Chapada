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Tabela IR" sheetId="2" state="visible" r:id="rId2"/>
    <sheet name="Lançamentos Mensais" sheetId="3" state="visible" r:id="rId3"/>
    <sheet name="Resumo An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1F3864"/>
      <sz val="12"/>
    </font>
    <font>
      <b val="1"/>
      <color rgb="00FFFFFF"/>
      <sz val="10"/>
    </font>
    <font>
      <b val="1"/>
      <color rgb="001F3864"/>
    </font>
    <font>
      <i val="1"/>
      <color rgb="00444444"/>
      <sz val="9"/>
    </font>
    <font>
      <b val="1"/>
      <color rgb="001F3864"/>
      <sz val="14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E7E6E6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164" fontId="0" fillId="4" borderId="1" pivotButton="0" quotePrefix="0" xfId="0"/>
    <xf numFmtId="164" fontId="0" fillId="5" borderId="1" pivotButton="0" quotePrefix="0" xfId="0"/>
    <xf numFmtId="164" fontId="0" fillId="6" borderId="1" pivotButton="0" quotePrefix="0" xfId="0"/>
    <xf numFmtId="0" fontId="2" fillId="7" borderId="1" pivotButton="0" quotePrefix="0" xfId="0"/>
    <xf numFmtId="164" fontId="2" fillId="7" borderId="1" pivotButton="0" quotePrefix="0" xfId="0"/>
    <xf numFmtId="0" fontId="7" fillId="0" borderId="0" pivotButton="0" quotePrefix="0" xfId="0"/>
    <xf numFmtId="0" fontId="2" fillId="6" borderId="1" pivotButton="0" quotePrefix="0" xfId="0"/>
    <xf numFmtId="164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1" ht="26" customHeight="1">
      <c r="B1" s="1" t="inlineStr">
        <is>
          <t>CONTROLE FISCAL E FINANCEIRO — AIRBNB 912 NORTE</t>
        </is>
      </c>
    </row>
    <row r="2">
      <c r="B2" s="2" t="inlineStr"/>
    </row>
    <row r="3">
      <c r="B3" s="3" t="inlineStr">
        <is>
          <t>Para que serve esta planilha</t>
        </is>
      </c>
    </row>
    <row r="4">
      <c r="B4" s="2" t="inlineStr">
        <is>
          <t>Registrar mês a mês a receita e os custos do apartamento e calcular AUTOMATICAMENTE:</t>
        </is>
      </c>
    </row>
    <row r="5">
      <c r="B5" s="2" t="inlineStr">
        <is>
          <t>• o resultado líquido do imóvel e quanto vai para o Fundo de Aquisição (50%);</t>
        </is>
      </c>
    </row>
    <row r="6">
      <c r="B6" s="2" t="inlineStr">
        <is>
          <t>• o Imposto de Renda mensal (carnê-leão) — já considerando a isenção até R$ 5.000/mês de 2026;</t>
        </is>
      </c>
    </row>
    <row r="7">
      <c r="B7" s="2" t="inlineStr">
        <is>
          <t>• o resumo anual e se você fica obrigado a declarar.</t>
        </is>
      </c>
    </row>
    <row r="8">
      <c r="B8" s="2" t="inlineStr"/>
    </row>
    <row r="9">
      <c r="B9" s="3" t="inlineStr">
        <is>
          <t>Como usar (rotina mensal de 5 minutos)</t>
        </is>
      </c>
    </row>
    <row r="10">
      <c r="B10" s="2" t="inlineStr">
        <is>
          <t>1. Vá na aba 'Lançamentos Mensais'.</t>
        </is>
      </c>
    </row>
    <row r="11">
      <c r="B11" s="2" t="inlineStr">
        <is>
          <t>2. Preencha SOMENTE as células AMARELAS do mês (receita e custos). As cinzas se calculam sozinhas.</t>
        </is>
      </c>
    </row>
    <row r="12">
      <c r="B12" s="2" t="inlineStr">
        <is>
          <t>3. Pegue os números no app do Airbnb (payout do mês) e nos boletos (condomínio, IPTU, luz, internet).</t>
        </is>
      </c>
    </row>
    <row r="13">
      <c r="B13" s="2" t="inlineStr">
        <is>
          <t>4. Em 'Outros rendimentos tributáveis' coloque salário/pró-labore/outras rendas do mês, se houver.</t>
        </is>
      </c>
    </row>
    <row r="14">
      <c r="B14" s="2" t="inlineStr">
        <is>
          <t>5. A coluna 'IR a pagar (DARF)' mostra o imposto do mês. Se der R$ 0, não há DARF a pagar naquele mês.</t>
        </is>
      </c>
    </row>
    <row r="15">
      <c r="B15" s="2" t="inlineStr">
        <is>
          <t>6. Confira o 'Resumo Anual' de tempos em tempos.</t>
        </is>
      </c>
    </row>
    <row r="16">
      <c r="B16" s="2" t="inlineStr"/>
    </row>
    <row r="17">
      <c r="B17" s="3" t="inlineStr">
        <is>
          <t>Onde mexer e onde NÃO mexer</t>
        </is>
      </c>
    </row>
    <row r="18">
      <c r="B18" s="2" t="inlineStr">
        <is>
          <t>• Mexa: células AMARELAS (seus lançamentos).</t>
        </is>
      </c>
    </row>
    <row r="19">
      <c r="B19" s="2" t="inlineStr">
        <is>
          <t>• Não precisa mexer: células CINZAS (fórmulas) e a aba 'Tabela IR' (só atualize quando a lei mudar).</t>
        </is>
      </c>
    </row>
    <row r="20">
      <c r="B20" s="2" t="inlineStr"/>
    </row>
    <row r="21">
      <c r="B21" s="3" t="inlineStr">
        <is>
          <t>Aviso importante</t>
        </is>
      </c>
    </row>
    <row r="22">
      <c r="B22" s="2" t="inlineStr">
        <is>
          <t xml:space="preserve">Esta planilha é uma ferramenta de apoio e educação, baseada na legislação vigente em jun/2026 </t>
        </is>
      </c>
    </row>
    <row r="23">
      <c r="B23" s="2" t="inlineStr">
        <is>
          <t xml:space="preserve">(Lei 15.270/2025 e tabela IRPF 2026). Não substitui um contador para casos complexos. </t>
        </is>
      </c>
    </row>
    <row r="24">
      <c r="B24" s="2" t="inlineStr">
        <is>
          <t>Os valores da tabela de imposto ficam na aba 'Tabela IR' e podem ser atualizados a cada ano.</t>
        </is>
      </c>
    </row>
    <row r="25">
      <c r="B25" s="2" t="inlineStr">
        <is>
          <t>As regras de obrigatoriedade de declarar mudam todo ano — confirme o limite na aba 'Resumo Anual'.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2" customWidth="1" min="3" max="3"/>
    <col width="18" customWidth="1" min="4" max="4"/>
  </cols>
  <sheetData>
    <row r="1">
      <c r="A1" s="4" t="inlineStr">
        <is>
          <t>TABELA PROGRESSIVA MENSAL — IRPF 2026 (editável)</t>
        </is>
      </c>
    </row>
    <row r="3">
      <c r="A3" s="5" t="inlineStr">
        <is>
          <t>Faixa (base de cálculo mensal)</t>
        </is>
      </c>
      <c r="B3" s="5" t="inlineStr">
        <is>
          <t>Limite superior (R$)</t>
        </is>
      </c>
      <c r="C3" s="5" t="inlineStr">
        <is>
          <t>Alíquota</t>
        </is>
      </c>
      <c r="D3" s="5" t="inlineStr">
        <is>
          <t>Parcela a deduzir (R$)</t>
        </is>
      </c>
    </row>
    <row r="4">
      <c r="A4" s="6" t="inlineStr">
        <is>
          <t>Até 2.259,20</t>
        </is>
      </c>
      <c r="B4" s="7" t="n">
        <v>2259.2</v>
      </c>
      <c r="C4" s="8" t="n">
        <v>0</v>
      </c>
      <c r="D4" s="7" t="n">
        <v>0</v>
      </c>
    </row>
    <row r="5">
      <c r="A5" s="6" t="inlineStr">
        <is>
          <t>De 2.259,21 a 2.826,65</t>
        </is>
      </c>
      <c r="B5" s="7" t="n">
        <v>2826.65</v>
      </c>
      <c r="C5" s="8" t="n">
        <v>0.075</v>
      </c>
      <c r="D5" s="7" t="n">
        <v>169.44</v>
      </c>
    </row>
    <row r="6">
      <c r="A6" s="6" t="inlineStr">
        <is>
          <t>De 2.826,66 a 3.751,05</t>
        </is>
      </c>
      <c r="B6" s="7" t="n">
        <v>3751.05</v>
      </c>
      <c r="C6" s="8" t="n">
        <v>0.15</v>
      </c>
      <c r="D6" s="7" t="n">
        <v>381.44</v>
      </c>
    </row>
    <row r="7">
      <c r="A7" s="6" t="inlineStr">
        <is>
          <t>De 3.751,06 a 4.664,68</t>
        </is>
      </c>
      <c r="B7" s="7" t="n">
        <v>4664.68</v>
      </c>
      <c r="C7" s="8" t="n">
        <v>0.225</v>
      </c>
      <c r="D7" s="7" t="n">
        <v>662.77</v>
      </c>
    </row>
    <row r="8">
      <c r="A8" s="6" t="inlineStr">
        <is>
          <t>Acima de 4.664,68</t>
        </is>
      </c>
      <c r="B8" s="7" t="n">
        <v>99999999</v>
      </c>
      <c r="C8" s="8" t="n">
        <v>0.275</v>
      </c>
      <c r="D8" s="7" t="n">
        <v>896</v>
      </c>
    </row>
    <row r="10">
      <c r="A10" s="9" t="inlineStr">
        <is>
          <t>PARÂMETROS 2026 (Lei 15.270/2025)</t>
        </is>
      </c>
    </row>
    <row r="11">
      <c r="A11" s="6" t="inlineStr">
        <is>
          <t>Isenção total até (R$/mês) — zera o IR</t>
        </is>
      </c>
      <c r="B11" s="7" t="n">
        <v>5000</v>
      </c>
    </row>
    <row r="12">
      <c r="A12" s="6" t="inlineStr">
        <is>
          <t>Teto da redução parcial (R$/mês)</t>
        </is>
      </c>
      <c r="B12" s="7" t="n">
        <v>7350</v>
      </c>
    </row>
    <row r="13">
      <c r="A13" s="6" t="inlineStr">
        <is>
          <t>Desconto simplificado mensal (opção, p/ serviços) (R$)</t>
        </is>
      </c>
      <c r="B13" s="7" t="n">
        <v>564.8</v>
      </c>
    </row>
    <row r="15">
      <c r="A15" s="10" t="inlineStr">
        <is>
          <t>Obs.: a faixa R$ 5.000–7.350 tem redução parcial não detalhada aqui (sua renda fica abaixo).</t>
        </is>
      </c>
    </row>
    <row r="16">
      <c r="A16" s="10" t="inlineStr">
        <is>
          <t>Se um mês passar de R$ 5.000 de base tributável, me avise para incluir a fórmula da redução parcial.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4" customWidth="1" min="9" max="9"/>
    <col width="12" customWidth="1" min="10" max="10"/>
    <col width="12" customWidth="1" min="11" max="11"/>
    <col width="13" customWidth="1" min="12" max="12"/>
    <col width="13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4" t="inlineStr">
        <is>
          <t>LANÇAMENTOS MENSAIS — preencha as colunas AMARELAS</t>
        </is>
      </c>
    </row>
    <row r="2">
      <c r="A2" s="10" t="inlineStr">
        <is>
          <t>Amarelo = você preenche  |  Cinza = calculado  |  Verde = resultado</t>
        </is>
      </c>
    </row>
    <row r="3">
      <c r="A3" s="5" t="inlineStr">
        <is>
          <t>Mês</t>
        </is>
      </c>
      <c r="B3" s="5" t="inlineStr">
        <is>
          <t>Receita hospedagem
(diárias) R$</t>
        </is>
      </c>
      <c r="C3" s="5" t="inlineStr">
        <is>
          <t>Taxa de limpeza
recebida R$</t>
        </is>
      </c>
      <c r="D3" s="5" t="inlineStr">
        <is>
          <t>Taxa Airbnb
paga R$</t>
        </is>
      </c>
      <c r="E3" s="5" t="inlineStr">
        <is>
          <t>Condomínio R$</t>
        </is>
      </c>
      <c r="F3" s="5" t="inlineStr">
        <is>
          <t>IPTU do mês R$</t>
        </is>
      </c>
      <c r="G3" s="5" t="inlineStr">
        <is>
          <t>Manutenção
dedutível R$</t>
        </is>
      </c>
      <c r="H3" s="5" t="inlineStr">
        <is>
          <t>Outros custos
(luz/net/diarista/etc) R$</t>
        </is>
      </c>
      <c r="I3" s="5" t="inlineStr">
        <is>
          <t>Outros rendim.
tributáveis R$</t>
        </is>
      </c>
      <c r="J3" s="5" t="inlineStr">
        <is>
          <t>Receita total
R$</t>
        </is>
      </c>
      <c r="K3" s="5" t="inlineStr">
        <is>
          <t>Deduções
fiscais R$</t>
        </is>
      </c>
      <c r="L3" s="5" t="inlineStr">
        <is>
          <t>Base tributável
aluguel R$</t>
        </is>
      </c>
      <c r="M3" s="5" t="inlineStr">
        <is>
          <t>Total tributável
mês R$</t>
        </is>
      </c>
      <c r="N3" s="5" t="inlineStr">
        <is>
          <t>Imposto pela
tabela R$</t>
        </is>
      </c>
      <c r="O3" s="5" t="inlineStr">
        <is>
          <t>IR a pagar
(DARF) R$</t>
        </is>
      </c>
      <c r="P3" s="5" t="inlineStr">
        <is>
          <t>Líquido do
imóvel R$</t>
        </is>
      </c>
      <c r="Q3" s="5" t="inlineStr">
        <is>
          <t>50% Fundo
Aquisição R$</t>
        </is>
      </c>
    </row>
    <row r="4">
      <c r="A4" s="6" t="inlineStr">
        <is>
          <t>Janeiro</t>
        </is>
      </c>
      <c r="B4" s="11" t="n"/>
      <c r="C4" s="11" t="n"/>
      <c r="D4" s="11" t="n"/>
      <c r="E4" s="11" t="n">
        <v>380</v>
      </c>
      <c r="F4" s="11" t="n">
        <v>90</v>
      </c>
      <c r="G4" s="11" t="n"/>
      <c r="H4" s="11" t="n">
        <v>190</v>
      </c>
      <c r="I4" s="11" t="n"/>
      <c r="J4" s="12">
        <f>B4+C4</f>
        <v/>
      </c>
      <c r="K4" s="12">
        <f>D4+E4+F4+G4</f>
        <v/>
      </c>
      <c r="L4" s="12">
        <f>MAX(0,J4-K4)</f>
        <v/>
      </c>
      <c r="M4" s="12">
        <f>L4+I4</f>
        <v/>
      </c>
      <c r="N4" s="12">
        <f>IF(M4&lt;='Tabela IR'!$B$4,0,IF(M4&lt;='Tabela IR'!$B$5,M4*'Tabela IR'!$C$5-'Tabela IR'!$D$5,IF(M4&lt;='Tabela IR'!$B$6,M4*'Tabela IR'!$C$6-'Tabela IR'!$D$6,IF(M4&lt;='Tabela IR'!$B$7,M4*'Tabela IR'!$C$7-'Tabela IR'!$D$7,M4*'Tabela IR'!$C$8-'Tabela IR'!$D$8))))</f>
        <v/>
      </c>
      <c r="O4" s="13">
        <f>IF(M4&lt;='Tabela IR'!$B$11,0,N4)</f>
        <v/>
      </c>
      <c r="P4" s="13">
        <f>J4-D4-E4-F4-G4-H4-O4</f>
        <v/>
      </c>
      <c r="Q4" s="13">
        <f>P4*0.5</f>
        <v/>
      </c>
    </row>
    <row r="5">
      <c r="A5" s="6" t="inlineStr">
        <is>
          <t>Fevereiro</t>
        </is>
      </c>
      <c r="B5" s="11" t="n"/>
      <c r="C5" s="11" t="n"/>
      <c r="D5" s="11" t="n"/>
      <c r="E5" s="11" t="n">
        <v>380</v>
      </c>
      <c r="F5" s="11" t="n">
        <v>90</v>
      </c>
      <c r="G5" s="11" t="n"/>
      <c r="H5" s="11" t="n">
        <v>190</v>
      </c>
      <c r="I5" s="11" t="n"/>
      <c r="J5" s="12">
        <f>B5+C5</f>
        <v/>
      </c>
      <c r="K5" s="12">
        <f>D5+E5+F5+G5</f>
        <v/>
      </c>
      <c r="L5" s="12">
        <f>MAX(0,J5-K5)</f>
        <v/>
      </c>
      <c r="M5" s="12">
        <f>L5+I5</f>
        <v/>
      </c>
      <c r="N5" s="12">
        <f>IF(M5&lt;='Tabela IR'!$B$4,0,IF(M5&lt;='Tabela IR'!$B$5,M5*'Tabela IR'!$C$5-'Tabela IR'!$D$5,IF(M5&lt;='Tabela IR'!$B$6,M5*'Tabela IR'!$C$6-'Tabela IR'!$D$6,IF(M5&lt;='Tabela IR'!$B$7,M5*'Tabela IR'!$C$7-'Tabela IR'!$D$7,M5*'Tabela IR'!$C$8-'Tabela IR'!$D$8))))</f>
        <v/>
      </c>
      <c r="O5" s="13">
        <f>IF(M5&lt;='Tabela IR'!$B$11,0,N5)</f>
        <v/>
      </c>
      <c r="P5" s="13">
        <f>J5-D5-E5-F5-G5-H5-O5</f>
        <v/>
      </c>
      <c r="Q5" s="13">
        <f>P5*0.5</f>
        <v/>
      </c>
    </row>
    <row r="6">
      <c r="A6" s="6" t="inlineStr">
        <is>
          <t>Março</t>
        </is>
      </c>
      <c r="B6" s="11" t="n"/>
      <c r="C6" s="11" t="n"/>
      <c r="D6" s="11" t="n"/>
      <c r="E6" s="11" t="n">
        <v>380</v>
      </c>
      <c r="F6" s="11" t="n">
        <v>90</v>
      </c>
      <c r="G6" s="11" t="n"/>
      <c r="H6" s="11" t="n">
        <v>190</v>
      </c>
      <c r="I6" s="11" t="n"/>
      <c r="J6" s="12">
        <f>B6+C6</f>
        <v/>
      </c>
      <c r="K6" s="12">
        <f>D6+E6+F6+G6</f>
        <v/>
      </c>
      <c r="L6" s="12">
        <f>MAX(0,J6-K6)</f>
        <v/>
      </c>
      <c r="M6" s="12">
        <f>L6+I6</f>
        <v/>
      </c>
      <c r="N6" s="12">
        <f>IF(M6&lt;='Tabela IR'!$B$4,0,IF(M6&lt;='Tabela IR'!$B$5,M6*'Tabela IR'!$C$5-'Tabela IR'!$D$5,IF(M6&lt;='Tabela IR'!$B$6,M6*'Tabela IR'!$C$6-'Tabela IR'!$D$6,IF(M6&lt;='Tabela IR'!$B$7,M6*'Tabela IR'!$C$7-'Tabela IR'!$D$7,M6*'Tabela IR'!$C$8-'Tabela IR'!$D$8))))</f>
        <v/>
      </c>
      <c r="O6" s="13">
        <f>IF(M6&lt;='Tabela IR'!$B$11,0,N6)</f>
        <v/>
      </c>
      <c r="P6" s="13">
        <f>J6-D6-E6-F6-G6-H6-O6</f>
        <v/>
      </c>
      <c r="Q6" s="13">
        <f>P6*0.5</f>
        <v/>
      </c>
    </row>
    <row r="7">
      <c r="A7" s="6" t="inlineStr">
        <is>
          <t>Abril</t>
        </is>
      </c>
      <c r="B7" s="11" t="n"/>
      <c r="C7" s="11" t="n"/>
      <c r="D7" s="11" t="n"/>
      <c r="E7" s="11" t="n">
        <v>380</v>
      </c>
      <c r="F7" s="11" t="n">
        <v>90</v>
      </c>
      <c r="G7" s="11" t="n"/>
      <c r="H7" s="11" t="n">
        <v>190</v>
      </c>
      <c r="I7" s="11" t="n"/>
      <c r="J7" s="12">
        <f>B7+C7</f>
        <v/>
      </c>
      <c r="K7" s="12">
        <f>D7+E7+F7+G7</f>
        <v/>
      </c>
      <c r="L7" s="12">
        <f>MAX(0,J7-K7)</f>
        <v/>
      </c>
      <c r="M7" s="12">
        <f>L7+I7</f>
        <v/>
      </c>
      <c r="N7" s="12">
        <f>IF(M7&lt;='Tabela IR'!$B$4,0,IF(M7&lt;='Tabela IR'!$B$5,M7*'Tabela IR'!$C$5-'Tabela IR'!$D$5,IF(M7&lt;='Tabela IR'!$B$6,M7*'Tabela IR'!$C$6-'Tabela IR'!$D$6,IF(M7&lt;='Tabela IR'!$B$7,M7*'Tabela IR'!$C$7-'Tabela IR'!$D$7,M7*'Tabela IR'!$C$8-'Tabela IR'!$D$8))))</f>
        <v/>
      </c>
      <c r="O7" s="13">
        <f>IF(M7&lt;='Tabela IR'!$B$11,0,N7)</f>
        <v/>
      </c>
      <c r="P7" s="13">
        <f>J7-D7-E7-F7-G7-H7-O7</f>
        <v/>
      </c>
      <c r="Q7" s="13">
        <f>P7*0.5</f>
        <v/>
      </c>
    </row>
    <row r="8">
      <c r="A8" s="6" t="inlineStr">
        <is>
          <t>Maio</t>
        </is>
      </c>
      <c r="B8" s="11" t="n"/>
      <c r="C8" s="11" t="n"/>
      <c r="D8" s="11" t="n"/>
      <c r="E8" s="11" t="n">
        <v>380</v>
      </c>
      <c r="F8" s="11" t="n">
        <v>90</v>
      </c>
      <c r="G8" s="11" t="n"/>
      <c r="H8" s="11" t="n">
        <v>190</v>
      </c>
      <c r="I8" s="11" t="n"/>
      <c r="J8" s="12">
        <f>B8+C8</f>
        <v/>
      </c>
      <c r="K8" s="12">
        <f>D8+E8+F8+G8</f>
        <v/>
      </c>
      <c r="L8" s="12">
        <f>MAX(0,J8-K8)</f>
        <v/>
      </c>
      <c r="M8" s="12">
        <f>L8+I8</f>
        <v/>
      </c>
      <c r="N8" s="12">
        <f>IF(M8&lt;='Tabela IR'!$B$4,0,IF(M8&lt;='Tabela IR'!$B$5,M8*'Tabela IR'!$C$5-'Tabela IR'!$D$5,IF(M8&lt;='Tabela IR'!$B$6,M8*'Tabela IR'!$C$6-'Tabela IR'!$D$6,IF(M8&lt;='Tabela IR'!$B$7,M8*'Tabela IR'!$C$7-'Tabela IR'!$D$7,M8*'Tabela IR'!$C$8-'Tabela IR'!$D$8))))</f>
        <v/>
      </c>
      <c r="O8" s="13">
        <f>IF(M8&lt;='Tabela IR'!$B$11,0,N8)</f>
        <v/>
      </c>
      <c r="P8" s="13">
        <f>J8-D8-E8-F8-G8-H8-O8</f>
        <v/>
      </c>
      <c r="Q8" s="13">
        <f>P8*0.5</f>
        <v/>
      </c>
    </row>
    <row r="9">
      <c r="A9" s="6" t="inlineStr">
        <is>
          <t>Junho</t>
        </is>
      </c>
      <c r="B9" s="11" t="n"/>
      <c r="C9" s="11" t="n"/>
      <c r="D9" s="11" t="n"/>
      <c r="E9" s="11" t="n">
        <v>380</v>
      </c>
      <c r="F9" s="11" t="n">
        <v>90</v>
      </c>
      <c r="G9" s="11" t="n"/>
      <c r="H9" s="11" t="n">
        <v>190</v>
      </c>
      <c r="I9" s="11" t="n"/>
      <c r="J9" s="12">
        <f>B9+C9</f>
        <v/>
      </c>
      <c r="K9" s="12">
        <f>D9+E9+F9+G9</f>
        <v/>
      </c>
      <c r="L9" s="12">
        <f>MAX(0,J9-K9)</f>
        <v/>
      </c>
      <c r="M9" s="12">
        <f>L9+I9</f>
        <v/>
      </c>
      <c r="N9" s="12">
        <f>IF(M9&lt;='Tabela IR'!$B$4,0,IF(M9&lt;='Tabela IR'!$B$5,M9*'Tabela IR'!$C$5-'Tabela IR'!$D$5,IF(M9&lt;='Tabela IR'!$B$6,M9*'Tabela IR'!$C$6-'Tabela IR'!$D$6,IF(M9&lt;='Tabela IR'!$B$7,M9*'Tabela IR'!$C$7-'Tabela IR'!$D$7,M9*'Tabela IR'!$C$8-'Tabela IR'!$D$8))))</f>
        <v/>
      </c>
      <c r="O9" s="13">
        <f>IF(M9&lt;='Tabela IR'!$B$11,0,N9)</f>
        <v/>
      </c>
      <c r="P9" s="13">
        <f>J9-D9-E9-F9-G9-H9-O9</f>
        <v/>
      </c>
      <c r="Q9" s="13">
        <f>P9*0.5</f>
        <v/>
      </c>
    </row>
    <row r="10">
      <c r="A10" s="6" t="inlineStr">
        <is>
          <t>Julho</t>
        </is>
      </c>
      <c r="B10" s="11" t="n"/>
      <c r="C10" s="11" t="n"/>
      <c r="D10" s="11" t="n"/>
      <c r="E10" s="11" t="n">
        <v>380</v>
      </c>
      <c r="F10" s="11" t="n">
        <v>90</v>
      </c>
      <c r="G10" s="11" t="n"/>
      <c r="H10" s="11" t="n">
        <v>190</v>
      </c>
      <c r="I10" s="11" t="n"/>
      <c r="J10" s="12">
        <f>B10+C10</f>
        <v/>
      </c>
      <c r="K10" s="12">
        <f>D10+E10+F10+G10</f>
        <v/>
      </c>
      <c r="L10" s="12">
        <f>MAX(0,J10-K10)</f>
        <v/>
      </c>
      <c r="M10" s="12">
        <f>L10+I10</f>
        <v/>
      </c>
      <c r="N10" s="12">
        <f>IF(M10&lt;='Tabela IR'!$B$4,0,IF(M10&lt;='Tabela IR'!$B$5,M10*'Tabela IR'!$C$5-'Tabela IR'!$D$5,IF(M10&lt;='Tabela IR'!$B$6,M10*'Tabela IR'!$C$6-'Tabela IR'!$D$6,IF(M10&lt;='Tabela IR'!$B$7,M10*'Tabela IR'!$C$7-'Tabela IR'!$D$7,M10*'Tabela IR'!$C$8-'Tabela IR'!$D$8))))</f>
        <v/>
      </c>
      <c r="O10" s="13">
        <f>IF(M10&lt;='Tabela IR'!$B$11,0,N10)</f>
        <v/>
      </c>
      <c r="P10" s="13">
        <f>J10-D10-E10-F10-G10-H10-O10</f>
        <v/>
      </c>
      <c r="Q10" s="13">
        <f>P10*0.5</f>
        <v/>
      </c>
    </row>
    <row r="11">
      <c r="A11" s="6" t="inlineStr">
        <is>
          <t>Agosto</t>
        </is>
      </c>
      <c r="B11" s="11" t="n"/>
      <c r="C11" s="11" t="n"/>
      <c r="D11" s="11" t="n"/>
      <c r="E11" s="11" t="n">
        <v>380</v>
      </c>
      <c r="F11" s="11" t="n">
        <v>90</v>
      </c>
      <c r="G11" s="11" t="n"/>
      <c r="H11" s="11" t="n">
        <v>190</v>
      </c>
      <c r="I11" s="11" t="n"/>
      <c r="J11" s="12">
        <f>B11+C11</f>
        <v/>
      </c>
      <c r="K11" s="12">
        <f>D11+E11+F11+G11</f>
        <v/>
      </c>
      <c r="L11" s="12">
        <f>MAX(0,J11-K11)</f>
        <v/>
      </c>
      <c r="M11" s="12">
        <f>L11+I11</f>
        <v/>
      </c>
      <c r="N11" s="12">
        <f>IF(M11&lt;='Tabela IR'!$B$4,0,IF(M11&lt;='Tabela IR'!$B$5,M11*'Tabela IR'!$C$5-'Tabela IR'!$D$5,IF(M11&lt;='Tabela IR'!$B$6,M11*'Tabela IR'!$C$6-'Tabela IR'!$D$6,IF(M11&lt;='Tabela IR'!$B$7,M11*'Tabela IR'!$C$7-'Tabela IR'!$D$7,M11*'Tabela IR'!$C$8-'Tabela IR'!$D$8))))</f>
        <v/>
      </c>
      <c r="O11" s="13">
        <f>IF(M11&lt;='Tabela IR'!$B$11,0,N11)</f>
        <v/>
      </c>
      <c r="P11" s="13">
        <f>J11-D11-E11-F11-G11-H11-O11</f>
        <v/>
      </c>
      <c r="Q11" s="13">
        <f>P11*0.5</f>
        <v/>
      </c>
    </row>
    <row r="12">
      <c r="A12" s="6" t="inlineStr">
        <is>
          <t>Setembro</t>
        </is>
      </c>
      <c r="B12" s="11" t="n"/>
      <c r="C12" s="11" t="n"/>
      <c r="D12" s="11" t="n"/>
      <c r="E12" s="11" t="n">
        <v>380</v>
      </c>
      <c r="F12" s="11" t="n">
        <v>90</v>
      </c>
      <c r="G12" s="11" t="n"/>
      <c r="H12" s="11" t="n">
        <v>190</v>
      </c>
      <c r="I12" s="11" t="n"/>
      <c r="J12" s="12">
        <f>B12+C12</f>
        <v/>
      </c>
      <c r="K12" s="12">
        <f>D12+E12+F12+G12</f>
        <v/>
      </c>
      <c r="L12" s="12">
        <f>MAX(0,J12-K12)</f>
        <v/>
      </c>
      <c r="M12" s="12">
        <f>L12+I12</f>
        <v/>
      </c>
      <c r="N12" s="12">
        <f>IF(M12&lt;='Tabela IR'!$B$4,0,IF(M12&lt;='Tabela IR'!$B$5,M12*'Tabela IR'!$C$5-'Tabela IR'!$D$5,IF(M12&lt;='Tabela IR'!$B$6,M12*'Tabela IR'!$C$6-'Tabela IR'!$D$6,IF(M12&lt;='Tabela IR'!$B$7,M12*'Tabela IR'!$C$7-'Tabela IR'!$D$7,M12*'Tabela IR'!$C$8-'Tabela IR'!$D$8))))</f>
        <v/>
      </c>
      <c r="O12" s="13">
        <f>IF(M12&lt;='Tabela IR'!$B$11,0,N12)</f>
        <v/>
      </c>
      <c r="P12" s="13">
        <f>J12-D12-E12-F12-G12-H12-O12</f>
        <v/>
      </c>
      <c r="Q12" s="13">
        <f>P12*0.5</f>
        <v/>
      </c>
    </row>
    <row r="13">
      <c r="A13" s="6" t="inlineStr">
        <is>
          <t>Outubro</t>
        </is>
      </c>
      <c r="B13" s="11" t="n"/>
      <c r="C13" s="11" t="n"/>
      <c r="D13" s="11" t="n"/>
      <c r="E13" s="11" t="n">
        <v>380</v>
      </c>
      <c r="F13" s="11" t="n">
        <v>90</v>
      </c>
      <c r="G13" s="11" t="n"/>
      <c r="H13" s="11" t="n">
        <v>190</v>
      </c>
      <c r="I13" s="11" t="n"/>
      <c r="J13" s="12">
        <f>B13+C13</f>
        <v/>
      </c>
      <c r="K13" s="12">
        <f>D13+E13+F13+G13</f>
        <v/>
      </c>
      <c r="L13" s="12">
        <f>MAX(0,J13-K13)</f>
        <v/>
      </c>
      <c r="M13" s="12">
        <f>L13+I13</f>
        <v/>
      </c>
      <c r="N13" s="12">
        <f>IF(M13&lt;='Tabela IR'!$B$4,0,IF(M13&lt;='Tabela IR'!$B$5,M13*'Tabela IR'!$C$5-'Tabela IR'!$D$5,IF(M13&lt;='Tabela IR'!$B$6,M13*'Tabela IR'!$C$6-'Tabela IR'!$D$6,IF(M13&lt;='Tabela IR'!$B$7,M13*'Tabela IR'!$C$7-'Tabela IR'!$D$7,M13*'Tabela IR'!$C$8-'Tabela IR'!$D$8))))</f>
        <v/>
      </c>
      <c r="O13" s="13">
        <f>IF(M13&lt;='Tabela IR'!$B$11,0,N13)</f>
        <v/>
      </c>
      <c r="P13" s="13">
        <f>J13-D13-E13-F13-G13-H13-O13</f>
        <v/>
      </c>
      <c r="Q13" s="13">
        <f>P13*0.5</f>
        <v/>
      </c>
    </row>
    <row r="14">
      <c r="A14" s="6" t="inlineStr">
        <is>
          <t>Novembro</t>
        </is>
      </c>
      <c r="B14" s="11" t="n"/>
      <c r="C14" s="11" t="n"/>
      <c r="D14" s="11" t="n"/>
      <c r="E14" s="11" t="n">
        <v>380</v>
      </c>
      <c r="F14" s="11" t="n">
        <v>90</v>
      </c>
      <c r="G14" s="11" t="n"/>
      <c r="H14" s="11" t="n">
        <v>190</v>
      </c>
      <c r="I14" s="11" t="n"/>
      <c r="J14" s="12">
        <f>B14+C14</f>
        <v/>
      </c>
      <c r="K14" s="12">
        <f>D14+E14+F14+G14</f>
        <v/>
      </c>
      <c r="L14" s="12">
        <f>MAX(0,J14-K14)</f>
        <v/>
      </c>
      <c r="M14" s="12">
        <f>L14+I14</f>
        <v/>
      </c>
      <c r="N14" s="12">
        <f>IF(M14&lt;='Tabela IR'!$B$4,0,IF(M14&lt;='Tabela IR'!$B$5,M14*'Tabela IR'!$C$5-'Tabela IR'!$D$5,IF(M14&lt;='Tabela IR'!$B$6,M14*'Tabela IR'!$C$6-'Tabela IR'!$D$6,IF(M14&lt;='Tabela IR'!$B$7,M14*'Tabela IR'!$C$7-'Tabela IR'!$D$7,M14*'Tabela IR'!$C$8-'Tabela IR'!$D$8))))</f>
        <v/>
      </c>
      <c r="O14" s="13">
        <f>IF(M14&lt;='Tabela IR'!$B$11,0,N14)</f>
        <v/>
      </c>
      <c r="P14" s="13">
        <f>J14-D14-E14-F14-G14-H14-O14</f>
        <v/>
      </c>
      <c r="Q14" s="13">
        <f>P14*0.5</f>
        <v/>
      </c>
    </row>
    <row r="15">
      <c r="A15" s="6" t="inlineStr">
        <is>
          <t>Dezembro</t>
        </is>
      </c>
      <c r="B15" s="11" t="n"/>
      <c r="C15" s="11" t="n"/>
      <c r="D15" s="11" t="n"/>
      <c r="E15" s="11" t="n">
        <v>380</v>
      </c>
      <c r="F15" s="11" t="n">
        <v>90</v>
      </c>
      <c r="G15" s="11" t="n"/>
      <c r="H15" s="11" t="n">
        <v>190</v>
      </c>
      <c r="I15" s="11" t="n"/>
      <c r="J15" s="12">
        <f>B15+C15</f>
        <v/>
      </c>
      <c r="K15" s="12">
        <f>D15+E15+F15+G15</f>
        <v/>
      </c>
      <c r="L15" s="12">
        <f>MAX(0,J15-K15)</f>
        <v/>
      </c>
      <c r="M15" s="12">
        <f>L15+I15</f>
        <v/>
      </c>
      <c r="N15" s="12">
        <f>IF(M15&lt;='Tabela IR'!$B$4,0,IF(M15&lt;='Tabela IR'!$B$5,M15*'Tabela IR'!$C$5-'Tabela IR'!$D$5,IF(M15&lt;='Tabela IR'!$B$6,M15*'Tabela IR'!$C$6-'Tabela IR'!$D$6,IF(M15&lt;='Tabela IR'!$B$7,M15*'Tabela IR'!$C$7-'Tabela IR'!$D$7,M15*'Tabela IR'!$C$8-'Tabela IR'!$D$8))))</f>
        <v/>
      </c>
      <c r="O15" s="13">
        <f>IF(M15&lt;='Tabela IR'!$B$11,0,N15)</f>
        <v/>
      </c>
      <c r="P15" s="13">
        <f>J15-D15-E15-F15-G15-H15-O15</f>
        <v/>
      </c>
      <c r="Q15" s="13">
        <f>P15*0.5</f>
        <v/>
      </c>
    </row>
    <row r="16">
      <c r="A16" s="14" t="inlineStr">
        <is>
          <t>TOTAL ANO</t>
        </is>
      </c>
      <c r="B16" s="15">
        <f>SUM(B4:B15)</f>
        <v/>
      </c>
      <c r="C16" s="15">
        <f>SUM(C4:C15)</f>
        <v/>
      </c>
      <c r="D16" s="15">
        <f>SUM(D4:D15)</f>
        <v/>
      </c>
      <c r="E16" s="15">
        <f>SUM(E4:E15)</f>
        <v/>
      </c>
      <c r="F16" s="15">
        <f>SUM(F4:F15)</f>
        <v/>
      </c>
      <c r="G16" s="15">
        <f>SUM(G4:G15)</f>
        <v/>
      </c>
      <c r="H16" s="15">
        <f>SUM(H4:H15)</f>
        <v/>
      </c>
      <c r="I16" s="15">
        <f>SUM(I4:I15)</f>
        <v/>
      </c>
      <c r="J16" s="15">
        <f>SUM(J4:J15)</f>
        <v/>
      </c>
      <c r="K16" s="15">
        <f>SUM(K4:K15)</f>
        <v/>
      </c>
      <c r="L16" s="15">
        <f>SUM(L4:L15)</f>
        <v/>
      </c>
      <c r="M16" s="15">
        <f>SUM(M4:M15)</f>
        <v/>
      </c>
      <c r="O16" s="15">
        <f>SUM(O4:O15)</f>
        <v/>
      </c>
      <c r="P16" s="15">
        <f>SUM(P4:P15)</f>
        <v/>
      </c>
      <c r="Q16" s="15">
        <f>SUM(Q4:Q15)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40" customWidth="1" min="3" max="3"/>
  </cols>
  <sheetData>
    <row r="1">
      <c r="A1" s="16" t="inlineStr">
        <is>
          <t>RESUMO ANUAL</t>
        </is>
      </c>
    </row>
    <row r="3">
      <c r="A3" s="6" t="inlineStr">
        <is>
          <t>Receita total do ano (hospedagem + limpeza)</t>
        </is>
      </c>
      <c r="B3" s="7">
        <f>'Lançamentos Mensais'!J16</f>
        <v/>
      </c>
    </row>
    <row r="4">
      <c r="A4" s="6" t="inlineStr">
        <is>
          <t>Deduções fiscais do ano</t>
        </is>
      </c>
      <c r="B4" s="7">
        <f>'Lançamentos Mensais'!K16</f>
        <v/>
      </c>
    </row>
    <row r="5">
      <c r="A5" s="6" t="inlineStr">
        <is>
          <t>Base tributável de aluguel no ano</t>
        </is>
      </c>
      <c r="B5" s="7">
        <f>'Lançamentos Mensais'!L16</f>
        <v/>
      </c>
    </row>
    <row r="6">
      <c r="A6" s="6" t="inlineStr">
        <is>
          <t>Imposto de Renda pago no ano (carnê-leão)</t>
        </is>
      </c>
      <c r="B6" s="7">
        <f>'Lançamentos Mensais'!O16</f>
        <v/>
      </c>
    </row>
    <row r="7">
      <c r="A7" s="6" t="inlineStr">
        <is>
          <t>Outros custos operacionais (luz/net/diarista/etc.)</t>
        </is>
      </c>
      <c r="B7" s="7">
        <f>'Lançamentos Mensais'!H16</f>
        <v/>
      </c>
    </row>
    <row r="8">
      <c r="A8" s="6" t="inlineStr">
        <is>
          <t>Taxa Airbnb paga no ano</t>
        </is>
      </c>
      <c r="B8" s="7">
        <f>'Lançamentos Mensais'!D16</f>
        <v/>
      </c>
    </row>
    <row r="9">
      <c r="A9" s="17" t="inlineStr">
        <is>
          <t>LÍQUIDO do imóvel no ano</t>
        </is>
      </c>
      <c r="B9" s="18">
        <f>'Lançamentos Mensais'!P16</f>
        <v/>
      </c>
    </row>
    <row r="10">
      <c r="A10" s="17" t="inlineStr">
        <is>
          <t>Destinado ao Fundo de Aquisição (50%)</t>
        </is>
      </c>
      <c r="B10" s="18">
        <f>'Lançamentos Mensais'!Q16</f>
        <v/>
      </c>
    </row>
    <row r="12">
      <c r="A12" s="9" t="inlineStr">
        <is>
          <t>OBRIGATORIEDADE DE DECLARAR (IRPF anual)</t>
        </is>
      </c>
    </row>
    <row r="13">
      <c r="A13" s="6" t="inlineStr">
        <is>
          <t>Limite de rendimentos tributáveis no ano (editável)*</t>
        </is>
      </c>
      <c r="B13" s="7" t="n">
        <v>33888</v>
      </c>
    </row>
    <row r="14">
      <c r="A14" s="6" t="inlineStr">
        <is>
          <t>Sua base tributável de aluguel no ano</t>
        </is>
      </c>
      <c r="B14" s="7">
        <f>'Lançamentos Mensais'!L16</f>
        <v/>
      </c>
    </row>
    <row r="15">
      <c r="A15" s="6" t="inlineStr">
        <is>
          <t>Recebeu aluguel sujeito a carnê-leão?</t>
        </is>
      </c>
      <c r="B15" s="6">
        <f>IF('Lançamentos Mensais'!L16&gt;0,"SIM","NÃO")</f>
        <v/>
      </c>
    </row>
    <row r="16">
      <c r="A16" s="14" t="inlineStr">
        <is>
          <t>Precisa entregar a declaração anual?</t>
        </is>
      </c>
      <c r="B16" s="14">
        <f>IF(OR(B14&gt;B13,'Lançamentos Mensais'!L16&gt;0),"SIM — deve declarar","Verificar outros critérios")</f>
        <v/>
      </c>
    </row>
    <row r="18">
      <c r="A18" s="10" t="inlineStr">
        <is>
          <t>* Quem recebe rendimento de aluguel sujeito ao carnê-leão geralmente já fica</t>
        </is>
      </c>
    </row>
    <row r="19">
      <c r="A19" s="10" t="inlineStr">
        <is>
          <t xml:space="preserve">  obrigado a declarar, mesmo que o imposto a pagar seja R$ 0. Confirme o limite do ano.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2026-06-20T06:52:25Z</dcterms:created>
  <dcterms:modified xsi:type="dcterms:W3CDTF">2026-06-20T06:52:25Z</dcterms:modified>
</cp:coreProperties>
</file>